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F Revenue FY26" sheetId="2" state="visible" r:id="rId4"/>
    <sheet name="GF Expenditure History" sheetId="3" state="visible" r:id="rId5"/>
    <sheet name="Personnel &amp; Pension" sheetId="4" state="visible" r:id="rId6"/>
    <sheet name="Deficit Bridge FY27-28" sheetId="5" state="visible" r:id="rId7"/>
    <sheet name="Dept Reductions FY27" sheetId="6" state="visible" r:id="rId8"/>
    <sheet name="Dept Reductions FY28" sheetId="7" state="visible" r:id="rId9"/>
    <sheet name="Dept Comparison" sheetId="8" state="visible" r:id="rId10"/>
    <sheet name="FTE &amp; Positions" sheetId="9" state="visible" r:id="rId11"/>
    <sheet name="One-Time Resources" sheetId="10" state="visible" r:id="rId12"/>
    <sheet name="Enterprise &amp; Special Funds" sheetId="11" state="visible" r:id="rId13"/>
    <sheet name="Capital Program FY27-28" sheetId="12" state="visible" r:id="rId14"/>
    <sheet name="Scenario Model" sheetId="13" state="visible" r:id="rId15"/>
    <sheet name="Charts" sheetId="14" state="visible" r:id="rId16"/>
    <sheet name="Glossary" sheetId="15" state="visible" r:id="rId17"/>
    <sheet name="Sources &amp; Lin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<sst xmlns="http://schemas.openxmlformats.org/spreadsheetml/2006/main" count="560" uniqueCount="465">
  <si>
    <t xml:space="preserve">City of Berkeley — Budget Overview FY2025–FY2028</t>
  </si>
  <si>
    <t xml:space="preserve">Compiled from official City of Berkeley budget documents</t>
  </si>
  <si>
    <t xml:space="preserve">What this workbook contains</t>
  </si>
  <si>
    <t xml:space="preserve">This file pulls together the publicly available Berkeley budget information for the current biennium (FY2025–FY2026) and the proposed next biennium (FY2027–FY2028), which is where the ~$30M structural deficit is being addressed.</t>
  </si>
  <si>
    <t xml:space="preserve">Important framing on the "$30M deficit"</t>
  </si>
  <si>
    <t xml:space="preserve">The ~$30M structural deficit being discussed in 2026 is the projected General Fund gap for FY2027 and FY2028 — the NEXT biennial budget (adopted June 23, 2026), not the current FY2025–26 budget. The current biennium was balanced largely with one-time measures. Officials have stated those one-time fixes are no longer sustainable, which is why the FY27–28 plan relies on ~10% ongoing structural reductions.</t>
  </si>
  <si>
    <t xml:space="preserve">Tabs</t>
  </si>
  <si>
    <t xml:space="preserve">1. GF Revenue FY26 — General Fund revenue line items, FY2026 Adopted Budget + mid-year actuals vs FY2025.</t>
  </si>
  <si>
    <t xml:space="preserve">2. GF Expenditure History — General Fund spending growth FY2020–FY2026 and the revenue-vs-expense gap.</t>
  </si>
  <si>
    <t xml:space="preserve">3. Personnel &amp; Pension — Personnel cost composition and the unfunded pension/OPEB liability trajectory.</t>
  </si>
  <si>
    <t xml:space="preserve">4. Deficit Bridge FY27-28 — How the city builds from the initial ~$32–33M gap down to the ~$29.2M / $29.5M adopted deficit.</t>
  </si>
  <si>
    <t xml:space="preserve">5. Dept Reductions FY27 — Department-by-department GF baseline, proposed reduction, and sales-tax scenario.</t>
  </si>
  <si>
    <t xml:space="preserve">6. Dept Reductions FY28 — Same view for FY2028.</t>
  </si>
  <si>
    <t xml:space="preserve">7. FTE &amp; Positions — Staffing / Reduction-in-Force impact across both scenarios.</t>
  </si>
  <si>
    <t xml:space="preserve">8. One-Time Resources — Sources and uses of one-time funds bridging the biennium.</t>
  </si>
  <si>
    <t xml:space="preserve">9. Enterprise &amp; Special Funds — Marina, Parking, Camps, Measure P/U1 and other non-GF funds in deficit.</t>
  </si>
  <si>
    <t xml:space="preserve">10. Capital Program FY27-28 — Five-Year CIP funding by source; Measure FF and T1 bond detail.</t>
  </si>
  <si>
    <t xml:space="preserve">11. Glossary — Plain-language definitions of every budget term and column used in this workbook.</t>
  </si>
  <si>
    <t xml:space="preserve">12. Sources &amp; Links — Every source document with a clickable URL for verification.</t>
  </si>
  <si>
    <t xml:space="preserve">13. Dept Comparison — FY27 baseline vs FY27 &amp; FY28 proposed by department, with charts.</t>
  </si>
  <si>
    <t xml:space="preserve">14. Scenario Model — Interactive sales-tax pass/fail model; change the blue assumption cells.</t>
  </si>
  <si>
    <t xml:space="preserve">15. Charts — Visual summary: expenditure-vs-revenue gap, personnel trend, deficit bridge, cuts by dept.</t>
  </si>
  <si>
    <t xml:space="preserve">Key context numbers</t>
  </si>
  <si>
    <t xml:space="preserve">• FY2026 Adopted GF Revenue (incl. transfers): $311.9M</t>
  </si>
  <si>
    <t xml:space="preserve">• GF expenditures grew from ~$236M (FY2020-21) to ~$311M (FY2026); ~70% of GF is personnel.</t>
  </si>
  <si>
    <t xml:space="preserve">• City reported ~$600M in unfunded liabilities (pension/OPEB) as of last year.</t>
  </si>
  <si>
    <t xml:space="preserve">• Proposed 0.5% sales tax (Nov 2026 ballot) would raise ~$9.0–9.4M/yr; would bring Berkeley rate to 10.75%.</t>
  </si>
  <si>
    <t xml:space="preserve">• Proposed $300M infrastructure bond also forwarded to Nov 2026 ballot (2/3 vote required).</t>
  </si>
  <si>
    <t xml:space="preserve">Sources</t>
  </si>
  <si>
    <t xml:space="preserve">• City of Berkeley, Budget &amp; Finance Committee, "FY27-FY28 Budget Balancing Plan," April 16, 2026.</t>
  </si>
  <si>
    <t xml:space="preserve">• City of Berkeley, "FY2026 Mid-Year General Fund Revenue Report," Feb 26, 2026.</t>
  </si>
  <si>
    <t xml:space="preserve">• City of Berkeley FY2025-2026 Adopted Biennial Budget; berkeleyca.gov budget pages.</t>
  </si>
  <si>
    <t xml:space="preserve">• Reporting: Berkeleyside, Berkeley Scanner, Daily Cal (Apr–May 2026).</t>
  </si>
  <si>
    <t xml:space="preserve">Note: figures are from budget/planning documents (budgetary/cash basis) and are subject to revision. Not for investment-decision use.</t>
  </si>
  <si>
    <t xml:space="preserve">General Fund Revenue — FY2026 Adopted vs Mid-Year Actuals (and FY2025 comparison)</t>
  </si>
  <si>
    <t xml:space="preserve">Source: City of Berkeley FY2026 Mid-Year General Fund Revenue Report, Feb 26, 2026 (budgetary/cash basis)</t>
  </si>
  <si>
    <t xml:space="preserve">Revenue Source</t>
  </si>
  <si>
    <t xml:space="preserve">FY2026 Adopted</t>
  </si>
  <si>
    <t xml:space="preserve">FY2026 Mid-Year Actual</t>
  </si>
  <si>
    <t xml:space="preserve">% of Adopted Recvd</t>
  </si>
  <si>
    <t xml:space="preserve">FY2025 Mid-Year Actual</t>
  </si>
  <si>
    <t xml:space="preserve">FY26 vs FY25 ($)</t>
  </si>
  <si>
    <t xml:space="preserve">FY26 vs FY25 (%)</t>
  </si>
  <si>
    <t xml:space="preserve">Secured Property Tax</t>
  </si>
  <si>
    <t xml:space="preserve">Supplemental Taxes</t>
  </si>
  <si>
    <t xml:space="preserve">Unsecured Property Taxes</t>
  </si>
  <si>
    <t xml:space="preserve">Property Transfer Tax</t>
  </si>
  <si>
    <t xml:space="preserve">Property Transfer Tax — Measure P</t>
  </si>
  <si>
    <t xml:space="preserve">Sales Taxes</t>
  </si>
  <si>
    <t xml:space="preserve">Soda Taxes</t>
  </si>
  <si>
    <t xml:space="preserve">Utility Users Taxes</t>
  </si>
  <si>
    <t xml:space="preserve">Transient Occupancy Taxes (net)</t>
  </si>
  <si>
    <t xml:space="preserve">Short-term Rentals</t>
  </si>
  <si>
    <t xml:space="preserve">Business License Tax</t>
  </si>
  <si>
    <t xml:space="preserve">Recreational Cannabis</t>
  </si>
  <si>
    <t xml:space="preserve">U1 Revenues</t>
  </si>
  <si>
    <t xml:space="preserve">Residential Vacancy Tax (new FY26)</t>
  </si>
  <si>
    <t xml:space="preserve">Other Taxes (incl. Redemptions)</t>
  </si>
  <si>
    <t xml:space="preserve">Vehicle In-Lieu Taxes (VLF)</t>
  </si>
  <si>
    <t xml:space="preserve">Parking Fines — Regular</t>
  </si>
  <si>
    <t xml:space="preserve">Moving Violations</t>
  </si>
  <si>
    <t xml:space="preserve">Ambulance Fees</t>
  </si>
  <si>
    <t xml:space="preserve">Interest Income</t>
  </si>
  <si>
    <t xml:space="preserve">Franchise Fees</t>
  </si>
  <si>
    <t xml:space="preserve">Other Revenue</t>
  </si>
  <si>
    <t xml:space="preserve">IDC Reimbursement</t>
  </si>
  <si>
    <t xml:space="preserve">Transfers</t>
  </si>
  <si>
    <t xml:space="preserve">TOTAL General Fund Revenue &amp; Transfers</t>
  </si>
  <si>
    <t xml:space="preserve">Note: Mid-year = first half of fiscal year (Jul–Dec). 'Adopted' is full-year budget; %Received compares half-year actual to full-year budget.</t>
  </si>
  <si>
    <t xml:space="preserve">General Fund — Expenditure Growth &amp; Revenue Gap (FY2020–FY2026)</t>
  </si>
  <si>
    <t xml:space="preserve">Sources: Berkeley budget overview presentations (Jan 2026, May 2025); FY2020-21 Adopted Budget; Berkeley Scanner reporting</t>
  </si>
  <si>
    <t xml:space="preserve">Fiscal Year</t>
  </si>
  <si>
    <t xml:space="preserve">GF Expenditures</t>
  </si>
  <si>
    <t xml:space="preserve">GF Revenues (approx.)</t>
  </si>
  <si>
    <t xml:space="preserve">Surplus / (Gap)</t>
  </si>
  <si>
    <t xml:space="preserve">Notes</t>
  </si>
  <si>
    <t xml:space="preserve">FY2020</t>
  </si>
  <si>
    <t xml:space="preserve">Pre-pandemic baseline (FY20-21 Adopted Budget: $191.2M)</t>
  </si>
  <si>
    <t xml:space="preserve">FY2021</t>
  </si>
  <si>
    <t xml:space="preserve">Balanced with no layoffs; reserves drawn for COVID</t>
  </si>
  <si>
    <t xml:space="preserve">FY2022</t>
  </si>
  <si>
    <t xml:space="preserve">Shifted to 1-year budget; ARPA federal relief ($66.6M citywide)</t>
  </si>
  <si>
    <t xml:space="preserve">FY2023</t>
  </si>
  <si>
    <t xml:space="preserve">GF available cash balance $85.4M at 6/30/2023</t>
  </si>
  <si>
    <t xml:space="preserve">FY2024</t>
  </si>
  <si>
    <t xml:space="preserve">Operating deficit; one-time measures used</t>
  </si>
  <si>
    <t xml:space="preserve">FY2025</t>
  </si>
  <si>
    <t xml:space="preserve">~$30M deficit closed to ~$126k via hiring freeze, fund borrowing</t>
  </si>
  <si>
    <t xml:space="preserve">FY2026</t>
  </si>
  <si>
    <t xml:space="preserve">Adopted GF rev w/ transfers $311.9M; ~100 FTE added since FY21</t>
  </si>
  <si>
    <t xml:space="preserve">Key cited facts (City of Berkeley budget staff):</t>
  </si>
  <si>
    <t xml:space="preserve">• GF expenditures rose ~$236M (FY2020-21) to ~$311M (FY2026) — a ~$75M / ~32% increase.</t>
  </si>
  <si>
    <t xml:space="preserve">• ~$63M of that increase is personnel; city added ~100 FTE to GF payroll.</t>
  </si>
  <si>
    <t xml:space="preserve">• Over 10 years: spending grew ~8%/yr vs revenue ~6.5%/yr — the root of the structural deficit.</t>
  </si>
  <si>
    <t xml:space="preserve">• GF available cash balance fell from $85.4M (6/30/2023) to $30.6M (6/30/2025).</t>
  </si>
  <si>
    <t xml:space="preserve">• ~70% of the GF is personnel; Police + Fire ≈ half of GF costs.</t>
  </si>
  <si>
    <t xml:space="preserve">Note: The '$236M' figure cited by staff for FY2020-21 differs slightly from the FY20-21 Adopted Budget single-year figures ($191.2M / $194.9M) because staff referenced a later actuals baseline. Blank cells = figure not separately published in sources gathered.</t>
  </si>
  <si>
    <t xml:space="preserve">Personnel Cost Composition &amp; Unfunded Liabilities</t>
  </si>
  <si>
    <t xml:space="preserve">Sources: Berkeley budget overview (Jan 2026); City Auditor Financial Condition report; Berkeleyside (May 2022)</t>
  </si>
  <si>
    <t xml:space="preserve">A. General Fund Cost Composition (FY2026, approx.)</t>
  </si>
  <si>
    <t xml:space="preserve">Component</t>
  </si>
  <si>
    <t xml:space="preserve">Amount</t>
  </si>
  <si>
    <t xml:space="preserve">% of GF</t>
  </si>
  <si>
    <t xml:space="preserve">Personnel — Salaries</t>
  </si>
  <si>
    <t xml:space="preserve">~50% of GF; cited by staff</t>
  </si>
  <si>
    <t xml:space="preserve">Personnel — Pension, health &amp; other benefits</t>
  </si>
  <si>
    <t xml:space="preserve">Balance of the $211M personnel total</t>
  </si>
  <si>
    <t xml:space="preserve">Non-personnel (contracts, supplies, services)</t>
  </si>
  <si>
    <t xml:space="preserve">Remainder of GF</t>
  </si>
  <si>
    <t xml:space="preserve">Total General Fund</t>
  </si>
  <si>
    <t xml:space="preserve">Ties to adopted GF rev/transfers $311.9M</t>
  </si>
  <si>
    <t xml:space="preserve">  of which Personnel (subtotal)</t>
  </si>
  <si>
    <t xml:space="preserve">City cites ~70% of GF tied to staffing ($211M)</t>
  </si>
  <si>
    <t xml:space="preserve">B. Unfunded Liabilities (Pension + Retiree Health / OPEB)</t>
  </si>
  <si>
    <t xml:space="preserve">As of Fiscal Year</t>
  </si>
  <si>
    <t xml:space="preserve">Unfunded Liability</t>
  </si>
  <si>
    <t xml:space="preserve">FY2012</t>
  </si>
  <si>
    <t xml:space="preserve">City Auditor baseline</t>
  </si>
  <si>
    <t xml:space="preserve">Pension funded ratio ~66% (FY2020) — CA Auditor 'high risk'</t>
  </si>
  <si>
    <t xml:space="preserve">Recent (cited 2026)</t>
  </si>
  <si>
    <t xml:space="preserve">Staff cited ~$600M unfunded liabilities; figures vary by measure &amp; date</t>
  </si>
  <si>
    <t xml:space="preserve">Note: Unfunded-liability figures are not directly comparable across years — they shift with discount-rate assumptions, asset returns, and whether OPEB is included. Treat as directional. Pension trust (est. 2018) target contribution was $5.5M/yr; city contributed &lt;$1.5M in FY2020 &amp; FY2021.</t>
  </si>
  <si>
    <t xml:space="preserve">General Fund Deficit Bridge — FY2027 &amp; FY2028</t>
  </si>
  <si>
    <t xml:space="preserve">Source: Berkeley Budget &amp; Finance Committee, FY27-FY28 Budget Balancing Plan, April 16, 2026</t>
  </si>
  <si>
    <t xml:space="preserve">Line Item</t>
  </si>
  <si>
    <t xml:space="preserve">FY2027</t>
  </si>
  <si>
    <t xml:space="preserve">FY2028</t>
  </si>
  <si>
    <t xml:space="preserve">Initial Estimate of General Fund Deficit</t>
  </si>
  <si>
    <t xml:space="preserve">Additional Income from Revenue Projections</t>
  </si>
  <si>
    <t xml:space="preserve">Revised Deficit after Revenue Projections</t>
  </si>
  <si>
    <t xml:space="preserve">  Adjustment: 1947 Center Street Debt Service</t>
  </si>
  <si>
    <t xml:space="preserve">  Adjustment: Parking Funds Stabilization</t>
  </si>
  <si>
    <t xml:space="preserve">  Adjustment: Non-Departmental</t>
  </si>
  <si>
    <t xml:space="preserve">Total Deficit Before Use of One-Time Resources</t>
  </si>
  <si>
    <t xml:space="preserve">Use of One-Time Resources</t>
  </si>
  <si>
    <t xml:space="preserve">GF Deficit after Revenue &amp; Expenditure Adjustments</t>
  </si>
  <si>
    <t xml:space="preserve">Reduction achieved before sales tax: $29.25M (FY27, 10.3%) / $29.77M (FY28, 10.5%). After sales-tax allocation (one-time): ~$19.8M / $20.1M.</t>
  </si>
  <si>
    <t xml:space="preserve">Department GF Reductions — FY2027 (Proposed)</t>
  </si>
  <si>
    <t xml:space="preserve">Department</t>
  </si>
  <si>
    <t xml:space="preserve">GF Baseline</t>
  </si>
  <si>
    <t xml:space="preserve">Proposed Reduction</t>
  </si>
  <si>
    <t xml:space="preserve">Budget w/ Reduction</t>
  </si>
  <si>
    <t xml:space="preserve">% of Baseline</t>
  </si>
  <si>
    <t xml:space="preserve">Sales &amp; Use Tax Alloc.</t>
  </si>
  <si>
    <t xml:space="preserve">Net Reduction w/ S&amp;U Tax</t>
  </si>
  <si>
    <t xml:space="preserve">% w/ S&amp;U Tax</t>
  </si>
  <si>
    <t xml:space="preserve">City Attorney</t>
  </si>
  <si>
    <t xml:space="preserve">City Auditor</t>
  </si>
  <si>
    <t xml:space="preserve">Office of Dir. of Police Accountability (ODPA)</t>
  </si>
  <si>
    <t xml:space="preserve">Mayor &amp; Council</t>
  </si>
  <si>
    <t xml:space="preserve">City Clerk</t>
  </si>
  <si>
    <t xml:space="preserve">City Manager's Office (CMO)</t>
  </si>
  <si>
    <t xml:space="preserve">Finance</t>
  </si>
  <si>
    <t xml:space="preserve">Fire</t>
  </si>
  <si>
    <t xml:space="preserve">Health, Housing &amp; Community Svcs (HHCS)</t>
  </si>
  <si>
    <t xml:space="preserve">Human Resources</t>
  </si>
  <si>
    <t xml:space="preserve">Information Technology</t>
  </si>
  <si>
    <t xml:space="preserve">Parks, Recreation &amp; Waterfront (PRW)</t>
  </si>
  <si>
    <t xml:space="preserve">Planning &amp; Development</t>
  </si>
  <si>
    <t xml:space="preserve">Police</t>
  </si>
  <si>
    <t xml:space="preserve">Public Works</t>
  </si>
  <si>
    <t xml:space="preserve">IT Cost Allocation Plan</t>
  </si>
  <si>
    <t xml:space="preserve">TOTAL Citywide</t>
  </si>
  <si>
    <t xml:space="preserve">Note: Charter offices (City Attorney, Auditor, ODPA, Mayor &amp; Council) set reductions first; remaining gap (~$28M) met by City-Manager-managed departments. S&amp;U Tax allocation = one-time bridge pending Nov 2026 sales-tax vote.</t>
  </si>
  <si>
    <t xml:space="preserve">Department GF Reductions — FY2028 (Proposed)</t>
  </si>
  <si>
    <t xml:space="preserve">Department Budget Comparison — FY27 Baseline vs Proposed (FY27 &amp; FY28)</t>
  </si>
  <si>
    <t xml:space="preserve">Source: FY27-FY28 Budget Balancing Plan. NOTE on FY25-26: the city built the FY27 BASELINE from FY25 actual spending + service needs, so the FY27 Baseline column is the closest published apples-to-apples proxy for the prior-budget starting point. A clean FY25-26 adopted-by-department GF table was not separately published in the documents gathered.</t>
  </si>
  <si>
    <t xml:space="preserve">FY27 GF Baseline</t>
  </si>
  <si>
    <t xml:space="preserve">FY27 GF Proposed</t>
  </si>
  <si>
    <t xml:space="preserve">FY27 Cut ($)</t>
  </si>
  <si>
    <t xml:space="preserve">FY27 Cut (%)</t>
  </si>
  <si>
    <t xml:space="preserve">FY28 GF Proposed</t>
  </si>
  <si>
    <t xml:space="preserve">FY27→FY28 Change ($)</t>
  </si>
  <si>
    <t xml:space="preserve">ODPA</t>
  </si>
  <si>
    <t xml:space="preserve">City Manager's Office</t>
  </si>
  <si>
    <t xml:space="preserve">HHCS</t>
  </si>
  <si>
    <t xml:space="preserve">Parks, Rec &amp; Waterfront</t>
  </si>
  <si>
    <t xml:space="preserve">TOTAL</t>
  </si>
  <si>
    <t xml:space="preserve">Staffing &amp; Reduction-in-Force (RIF) Impact — All Funds</t>
  </si>
  <si>
    <t xml:space="preserve">Scenario</t>
  </si>
  <si>
    <t xml:space="preserve">FY26 Adopted FTE</t>
  </si>
  <si>
    <t xml:space="preserve">FY26 RIF</t>
  </si>
  <si>
    <t xml:space="preserve">FY27 Baseline FTE</t>
  </si>
  <si>
    <t xml:space="preserve">FY27 Proposed FTE Reduction</t>
  </si>
  <si>
    <t xml:space="preserve">FY27 Total FTE (net)</t>
  </si>
  <si>
    <t xml:space="preserve">Cumulative RIF</t>
  </si>
  <si>
    <t xml:space="preserve">Cumulative % Reduction</t>
  </si>
  <si>
    <t xml:space="preserve">Without Sales &amp; Use Tax</t>
  </si>
  <si>
    <t xml:space="preserve">With Sales &amp; Use Tax</t>
  </si>
  <si>
    <t xml:space="preserve">Proposed Position Reductions (All Funds)</t>
  </si>
  <si>
    <t xml:space="preserve">Vacant</t>
  </si>
  <si>
    <t xml:space="preserve">Filled</t>
  </si>
  <si>
    <t xml:space="preserve">Total</t>
  </si>
  <si>
    <t xml:space="preserve">No Sales &amp; Use Tax</t>
  </si>
  <si>
    <t xml:space="preserve">Positions allocated to Sales &amp; Use Tax = 33.0 FTE (15.0 vacant + 18.0 filled). City total workforce ~1,600.</t>
  </si>
  <si>
    <t xml:space="preserve">One-Time Resources — Sources &amp; Uses (FY2027–FY2028)</t>
  </si>
  <si>
    <t xml:space="preserve">Sources of One-Time Resources</t>
  </si>
  <si>
    <t xml:space="preserve">Operating Reserve (2025 AAO #1)</t>
  </si>
  <si>
    <t xml:space="preserve">Dissolution of Successor Agency — Transfer to City</t>
  </si>
  <si>
    <t xml:space="preserve">Total Sources</t>
  </si>
  <si>
    <t xml:space="preserve">Uses of One-Time Resources</t>
  </si>
  <si>
    <t xml:space="preserve">Proposed Sales &amp; Use Tax (bridge)</t>
  </si>
  <si>
    <t xml:space="preserve">Smooth Difference in FY27/FY28 Deficit</t>
  </si>
  <si>
    <t xml:space="preserve">Carrying Costs — Impacted Employees</t>
  </si>
  <si>
    <t xml:space="preserve">Total Uses</t>
  </si>
  <si>
    <t xml:space="preserve">Remaining One-Time Resources</t>
  </si>
  <si>
    <t xml:space="preserve">Enterprise &amp; Special Funds in Structural Deficit</t>
  </si>
  <si>
    <t xml:space="preserve">Sources: FY27-28 Budget Plan; City Auditor (Apr 2026); Marina Fund Updates; Berkeley Scanner/Daily Cal reporting</t>
  </si>
  <si>
    <t xml:space="preserve">These funds are legally separate from the General Fund but their deficits matter: when they can't cover themselves, they pull transfers FROM the General Fund, worsening the overall gap.</t>
  </si>
  <si>
    <t xml:space="preserve">Fund</t>
  </si>
  <si>
    <t xml:space="preserve">Type</t>
  </si>
  <si>
    <t xml:space="preserve">Status / Deficit</t>
  </si>
  <si>
    <t xml:space="preserve">Key Detail</t>
  </si>
  <si>
    <t xml:space="preserve">Marina Fund</t>
  </si>
  <si>
    <t xml:space="preserve">Enterprise</t>
  </si>
  <si>
    <t xml:space="preserve">Structural deficit 20+ yrs</t>
  </si>
  <si>
    <t xml:space="preserve">Berth-rental declines + aging docks. ~$2.3M/yr revenue gap cited (&gt;1/3 of fund revenue). Needs GF transfers through at least FY27. $100M+ unfunded waterfront capital. $15M state deferred-maintenance funds secured.</t>
  </si>
  <si>
    <t xml:space="preserve">Parking / Parking Meter Funds</t>
  </si>
  <si>
    <t xml:space="preserve">Deficit; 'stabilization' needed</t>
  </si>
  <si>
    <t xml:space="preserve">FY27-28 plan adds $1,050,938/yr Parking Funds Stabilization. Meter upgrades deferred; fee increases passed.</t>
  </si>
  <si>
    <t xml:space="preserve">Camps Fund</t>
  </si>
  <si>
    <t xml:space="preserve">Special</t>
  </si>
  <si>
    <t xml:space="preserve">'Only just recovering'</t>
  </si>
  <si>
    <t xml:space="preserve">Flagged precarious; Cazadero storm damage. Fee increases (Summer Fun Camp) used as balancing strategy.</t>
  </si>
  <si>
    <t xml:space="preserve">Building Maintenance Fund</t>
  </si>
  <si>
    <t xml:space="preserve">Internal Service</t>
  </si>
  <si>
    <t xml:space="preserve">Deficit</t>
  </si>
  <si>
    <t xml:space="preserve">Cited among strained funds; deferred-maintenance backlog.</t>
  </si>
  <si>
    <t xml:space="preserve">Mental Health / Behavioral Health Svcs</t>
  </si>
  <si>
    <t xml:space="preserve">Shortfall</t>
  </si>
  <si>
    <t xml:space="preserve">State (Prop 1) &amp; federal funding cuts; Mobile Crisis Team eliminated in FY27-28 plan.</t>
  </si>
  <si>
    <t xml:space="preserve">Measure P (Property Transfer Tax)</t>
  </si>
  <si>
    <t xml:space="preserve">Spending &gt; revenue</t>
  </si>
  <si>
    <t xml:space="preserve">Funds homelessness work; finance director: 'spending more than revenue we're bringing in.'</t>
  </si>
  <si>
    <t xml:space="preserve">Measure U1</t>
  </si>
  <si>
    <t xml:space="preserve">Under review</t>
  </si>
  <si>
    <t xml:space="preserve">Affordable-housing funds; 'rolls up to the General Fund' per finance director — eligible to help GF.</t>
  </si>
  <si>
    <t xml:space="preserve">Capital Improvement Fund (CIP)</t>
  </si>
  <si>
    <t xml:space="preserve">Capital</t>
  </si>
  <si>
    <t xml:space="preserve">Underfunded</t>
  </si>
  <si>
    <t xml:space="preserve">Chronic underfunding vs $1.65–2B unfunded infrastructure need.</t>
  </si>
  <si>
    <t xml:space="preserve">IT Cost Allocation / IT Funds (502, 503)</t>
  </si>
  <si>
    <t xml:space="preserve">Structural deficit</t>
  </si>
  <si>
    <t xml:space="preserve">Costs shifting to IT Cost Allocation Plan Fund; $0 CIP IT budget FY29-31 due to insufficient balance.</t>
  </si>
  <si>
    <t xml:space="preserve">Note: Most of these funds do not publish a single clean 'deficit' figure in the sources gathered; entries summarize the city's qualitative characterization plus any specific figures cited. The two precise FY27-28 GF-impact numbers are the Parking Stabilization ($1.05M/yr) and 1947 Center St debt service ($1.63M/yr).</t>
  </si>
  <si>
    <t xml:space="preserve">Five-Year Capital Improvement Program (CIP) — FY2027 &amp; FY2028 Funding by Source</t>
  </si>
  <si>
    <t xml:space="preserve">Source: Berkeley Proposed FY27-FY31 CIP Budget Presentation, May 28, 2026</t>
  </si>
  <si>
    <t xml:space="preserve">Funding Source</t>
  </si>
  <si>
    <t xml:space="preserve">Category</t>
  </si>
  <si>
    <t xml:space="preserve">FY27-28 Total</t>
  </si>
  <si>
    <t xml:space="preserve">General Fund / CIP — Streets</t>
  </si>
  <si>
    <t xml:space="preserve">GF/CIP</t>
  </si>
  <si>
    <t xml:space="preserve">General Fund / CIP — Streets PCI Improvement</t>
  </si>
  <si>
    <t xml:space="preserve">General Fund / CIP — Sidewalks</t>
  </si>
  <si>
    <t xml:space="preserve">General Fund / CIP — Facilities</t>
  </si>
  <si>
    <t xml:space="preserve">General Fund / CIP — Parks</t>
  </si>
  <si>
    <t xml:space="preserve">General Fund / CIP — ADA</t>
  </si>
  <si>
    <t xml:space="preserve">Parks Tax</t>
  </si>
  <si>
    <t xml:space="preserve">Special (PRW)</t>
  </si>
  <si>
    <t xml:space="preserve">IT Cost Allocation Fund</t>
  </si>
  <si>
    <t xml:space="preserve">Special (IT)</t>
  </si>
  <si>
    <t xml:space="preserve">Measure BB Sales Tax</t>
  </si>
  <si>
    <t xml:space="preserve">Special (PW)</t>
  </si>
  <si>
    <t xml:space="preserve">Vehicle Registration Fee</t>
  </si>
  <si>
    <t xml:space="preserve">State Transportation (Gas) Tax</t>
  </si>
  <si>
    <t xml:space="preserve">Streetlight Assessment</t>
  </si>
  <si>
    <t xml:space="preserve">Zero Waste</t>
  </si>
  <si>
    <t xml:space="preserve">Sanitary Sewer</t>
  </si>
  <si>
    <t xml:space="preserve">Clean Storm Water</t>
  </si>
  <si>
    <t xml:space="preserve">Measure FF (Safe Streets)</t>
  </si>
  <si>
    <t xml:space="preserve">Bond/Parcel (PW)</t>
  </si>
  <si>
    <t xml:space="preserve">Equipment Replacement</t>
  </si>
  <si>
    <t xml:space="preserve">Internal Service (PW)</t>
  </si>
  <si>
    <t xml:space="preserve">Capital Grant — Federal</t>
  </si>
  <si>
    <t xml:space="preserve">Grant</t>
  </si>
  <si>
    <t xml:space="preserve">Capital Grant — State</t>
  </si>
  <si>
    <t xml:space="preserve">Capital Grant — Local</t>
  </si>
  <si>
    <t xml:space="preserve">TOTAL CIP Funding</t>
  </si>
  <si>
    <t xml:space="preserve">Voter-Approved Bond Context</t>
  </si>
  <si>
    <t xml:space="preserve">• Measure T1 (2016): $100M bond. Phase 1 done (39 projects, $40M, $23M leveraged). Phase 2: 37 projects, ~$64M, $43M leveraged. Now fully allocated.</t>
  </si>
  <si>
    <t xml:space="preserve">• Measure FF (2024): ~$270M over 14 yrs (~$15M/yr) for streets/sidewalks/safety/environment. 60% streets &amp; sidewalks, 30% safety, 10% environment.</t>
  </si>
  <si>
    <t xml:space="preserve">• Proposed $300M infrastructure GO bond → Nov 2026 ballot (needs 2/3 vote). Funded by property tax.</t>
  </si>
  <si>
    <t xml:space="preserve">• Unfunded infrastructure / deferred maintenance estimated at $1.65–2 billion citywide (300+ mi sidewalks, 54 parks, 95 buildings).</t>
  </si>
  <si>
    <t xml:space="preserve">• FY27 PW CIP investment $92.1M; FY28 $78.9M. Largest: Sanitary Sewer (~$48M over 2 yrs, Consent Decree compliance).</t>
  </si>
  <si>
    <t xml:space="preserve">Sales &amp; Use Tax Scenario Model — FY2027</t>
  </si>
  <si>
    <t xml:space="preserve">Change the BLUE cells to test scenarios. Everything else recalculates. Defaults reflect the city's adopted FY27-28 plan.</t>
  </si>
  <si>
    <t xml:space="preserve">ASSUMPTIONS (editable)</t>
  </si>
  <si>
    <t xml:space="preserve">FY27 GF structural deficit (before one-time)</t>
  </si>
  <si>
    <t xml:space="preserve">From Deficit Bridge tab</t>
  </si>
  <si>
    <t xml:space="preserve">Ongoing reductions adopted (FY27)</t>
  </si>
  <si>
    <t xml:space="preserve">10.3% of baseline</t>
  </si>
  <si>
    <t xml:space="preserve">Sales tax passes? (1 = Yes, 0 = No)</t>
  </si>
  <si>
    <t xml:space="preserve">Toggle this</t>
  </si>
  <si>
    <t xml:space="preserve">Annual sales-tax revenue if passed</t>
  </si>
  <si>
    <t xml:space="preserve">City est. ~$9.0–9.4M/yr</t>
  </si>
  <si>
    <t xml:space="preserve">One-time resources applied (FY27)</t>
  </si>
  <si>
    <t xml:space="preserve">Smoothing</t>
  </si>
  <si>
    <t xml:space="preserve">Sales-tax allocation to soften cuts (one-time, FY27)</t>
  </si>
  <si>
    <t xml:space="preserve">Police/Fire/PRW</t>
  </si>
  <si>
    <t xml:space="preserve">RESULTS (calculated)</t>
  </si>
  <si>
    <t xml:space="preserve">Sales-tax revenue realized</t>
  </si>
  <si>
    <t xml:space="preserve">Total resources to close gap (reductions + one-time + tax)</t>
  </si>
  <si>
    <t xml:space="preserve">Gap remaining after all measures</t>
  </si>
  <si>
    <t xml:space="preserve">Depth of ongoing cuts as % of baseline</t>
  </si>
  <si>
    <t xml:space="preserve">Net cut after tax allocation (Police/Fire/PRW softened)</t>
  </si>
  <si>
    <t xml:space="preserve">Net cut as % of baseline (post-allocation)</t>
  </si>
  <si>
    <t xml:space="preserve">Scenario outcome</t>
  </si>
  <si>
    <t xml:space="preserve">Reading the model: With tax PASSING (default), the city still makes ~10.3% ongoing cuts but uses ~$9.4M one-time tax-bridge money to spare specific Police/Fire/PRW positions in FY27 while permanent revenue ramps up. With tax FAILING (set toggle to 0), that cushion disappears and the deeper-cut list takes effect. The 'gap remaining' shows how close to balanced each path gets.</t>
  </si>
  <si>
    <t xml:space="preserve">Visual Summary</t>
  </si>
  <si>
    <t xml:space="preserve">Charts draw from helper tables below (rows 40+). Source tabs noted in each title.</t>
  </si>
  <si>
    <t xml:space="preserve">Helper: GF Expenditure Trend</t>
  </si>
  <si>
    <t xml:space="preserve">Helper: GF Cost Composition (FY26)</t>
  </si>
  <si>
    <t xml:space="preserve">Salaries</t>
  </si>
  <si>
    <t xml:space="preserve">Benefits/Pension</t>
  </si>
  <si>
    <t xml:space="preserve">Non-personnel</t>
  </si>
  <si>
    <t xml:space="preserve">Helper: FY27 Deficit Bridge</t>
  </si>
  <si>
    <t xml:space="preserve">Stage</t>
  </si>
  <si>
    <t xml:space="preserve">Initial deficit</t>
  </si>
  <si>
    <t xml:space="preserve">+ Revenue proj.</t>
  </si>
  <si>
    <t xml:space="preserve">+ Debt svc/parking/non-dept adj.</t>
  </si>
  <si>
    <t xml:space="preserve">+ One-time use</t>
  </si>
  <si>
    <t xml:space="preserve">Final FY27 deficit</t>
  </si>
  <si>
    <t xml:space="preserve">Helper: FY27 Cut by Department</t>
  </si>
  <si>
    <t xml:space="preserve">CMO</t>
  </si>
  <si>
    <t xml:space="preserve">PRW</t>
  </si>
  <si>
    <t xml:space="preserve">HR</t>
  </si>
  <si>
    <t xml:space="preserve">Planning &amp; Dev</t>
  </si>
  <si>
    <t xml:space="preserve">IT</t>
  </si>
  <si>
    <t xml:space="preserve">Glossary — Terms &amp; Column Definitions</t>
  </si>
  <si>
    <t xml:space="preserve">Plain-language definitions for the budget terms and column headers used throughout this workbook.</t>
  </si>
  <si>
    <t xml:space="preserve">Term / Column</t>
  </si>
  <si>
    <t xml:space="preserve">Definition</t>
  </si>
  <si>
    <t xml:space="preserve">General Fund (GF)</t>
  </si>
  <si>
    <t xml:space="preserve">The city's main operating fund. Money here is unrestricted — the Council can spend it on almost any city purpose (police, fire, parks, admin). This is where the ~$30M structural deficit lives.</t>
  </si>
  <si>
    <t xml:space="preserve">An ongoing, recurring gap where normal expenses exceed normal revenues year after year — as opposed to a one-time shortfall. It doesn't go away on its own and can't be permanently fixed with one-time money.</t>
  </si>
  <si>
    <t xml:space="preserve">One-time (one-time resources)</t>
  </si>
  <si>
    <t xml:space="preserve">Money available only once — e.g., reserves, a fund transfer, sale proceeds. Useful to bridge a single year but dangerous to rely on for recurring costs, because the gap reappears next year.</t>
  </si>
  <si>
    <t xml:space="preserve">Baseline</t>
  </si>
  <si>
    <t xml:space="preserve">The starting-point budget built from actual spending and service needs BEFORE any proposed cuts. The FY27-28 plan rebuilt baselines from actual expenditures rather than prior budgets.</t>
  </si>
  <si>
    <t xml:space="preserve">Adopted Budget</t>
  </si>
  <si>
    <t xml:space="preserve">The final budget formally approved by the City Council. The FY25-26 biennial budget is current; the FY27-28 biennial budget was adopted June 23, 2026.</t>
  </si>
  <si>
    <t xml:space="preserve">Proposed Budget</t>
  </si>
  <si>
    <t xml:space="preserve">The City Manager's recommended budget before Council adoption — subject to change through hearings.</t>
  </si>
  <si>
    <t xml:space="preserve">Biennial budget</t>
  </si>
  <si>
    <t xml:space="preserve">A two-year budget. Berkeley budgets in two-year cycles with a mid-cycle update.</t>
  </si>
  <si>
    <t xml:space="preserve">Mid-year / Mid-biennial</t>
  </si>
  <si>
    <t xml:space="preserve">A check-in partway through. 'Mid-year' here = first half of the fiscal year (Jul–Dec). 'Mid-biennial' = the update between the two years of a biennial budget.</t>
  </si>
  <si>
    <t xml:space="preserve">Fiscal Year (FY)</t>
  </si>
  <si>
    <t xml:space="preserve">Berkeley's budget year runs July 1 – June 30. 'FY2026' = July 1, 2025 to June 30, 2026. 'FY2027' begins July 1, 2026.</t>
  </si>
  <si>
    <t xml:space="preserve">Enterprise Fund</t>
  </si>
  <si>
    <t xml:space="preserve">A fund for a service expected to pay for itself through its own fees/charges (e.g., Marina berths, parking). When it can't, the General Fund covers the difference.</t>
  </si>
  <si>
    <t xml:space="preserve">Special Fund / Special Revenue Fund</t>
  </si>
  <si>
    <t xml:space="preserve">Money legally restricted to a specific purpose, often from a dedicated tax or grant (e.g., Measure P for homelessness, Parks Tax). Can't be freely redirected.</t>
  </si>
  <si>
    <t xml:space="preserve">Internal Service Fund</t>
  </si>
  <si>
    <t xml:space="preserve">A fund where one city department 'charges' others for shared services (e.g., IT, building maintenance, workers' comp). Revenue comes from internal transfers.</t>
  </si>
  <si>
    <t xml:space="preserve">Capital Improvement Program (CIP)</t>
  </si>
  <si>
    <t xml:space="preserve">The multi-year plan for big physical projects — streets, sidewalks, buildings, docks. Separate from day-to-day operating costs. Berkeley's is a 5-year plan, updated each biennium.</t>
  </si>
  <si>
    <t xml:space="preserve">Capital Budget (CIP Years 1-2)</t>
  </si>
  <si>
    <t xml:space="preserve">The actionable, appropriated portion of the CIP — actual funding for that year's projects. Years 3-5 are planning estimates only.</t>
  </si>
  <si>
    <t xml:space="preserve">Unfunded liability</t>
  </si>
  <si>
    <t xml:space="preserve">A future obligation the city owes (mainly pensions and retiree health / OPEB) for which it has NOT yet set aside enough money. Grows or shrinks with investment returns and assumptions.</t>
  </si>
  <si>
    <t xml:space="preserve">OPEB</t>
  </si>
  <si>
    <t xml:space="preserve">Other Post-Employment Benefits — chiefly retiree health care, separate from pensions. Often lumped with pensions in 'unfunded liabilities.'</t>
  </si>
  <si>
    <t xml:space="preserve">Pension funded ratio</t>
  </si>
  <si>
    <t xml:space="preserve">Assets ÷ liabilities for the pension plan. 100% = fully funded. Berkeley was ~66% (FY2020), which the state classified as 'high risk.'</t>
  </si>
  <si>
    <t xml:space="preserve">Reduction in Force (RIF)</t>
  </si>
  <si>
    <t xml:space="preserve">Eliminating positions — both layoffs of filled jobs and removal of vacant (unfilled) positions.</t>
  </si>
  <si>
    <t xml:space="preserve">FTE (Full-Time Equivalent)</t>
  </si>
  <si>
    <t xml:space="preserve">A way to count staffing where 1.0 = one full-time position. Two half-time staff = 1.0 FTE. Lets the city compare headcount consistently.</t>
  </si>
  <si>
    <t xml:space="preserve">Vacant vs Filled positions</t>
  </si>
  <si>
    <t xml:space="preserve">Vacant = budgeted but no one in the seat (cheaper to cut — no layoff). Filled = an actual employee, so cutting means a layoff.</t>
  </si>
  <si>
    <t xml:space="preserve">Charter Officers / Offices</t>
  </si>
  <si>
    <t xml:space="preserve">Positions/offices established by the City Charter and somewhat independent of the City Manager: City Attorney, City Auditor, the Director of Police Accountability (ODPA), and the Mayor &amp; Council. They set their own reductions first.</t>
  </si>
  <si>
    <t xml:space="preserve">CM-Managed Departments</t>
  </si>
  <si>
    <t xml:space="preserve">Departments under the City Manager's authority (Police, Fire, Public Works, etc.) — distinct from Charter offices.</t>
  </si>
  <si>
    <t xml:space="preserve">Sales &amp; Use Tax (S&amp;U Tax) measure</t>
  </si>
  <si>
    <t xml:space="preserve">Proposed 0.5% local sales-tax increase for the Nov 2026 ballot. Would raise ~$9.0–9.4M/yr, bring Berkeley to 10.75%, and (if passed) reduce the depth of cuts. Needs simple majority.</t>
  </si>
  <si>
    <t xml:space="preserve">GO Bond (General Obligation Bond)</t>
  </si>
  <si>
    <t xml:space="preserve">Borrowing repaid through a dedicated property tax. Needs 2/3 voter approval. The proposed $300M infrastructure bond is a GO bond.</t>
  </si>
  <si>
    <t xml:space="preserve">Measure FF (2024)</t>
  </si>
  <si>
    <t xml:space="preserve">Voter-approved ~$270M, 14-year funding stream (~$15M/yr) for streets, sidewalks, safety, and environmental work ('Safe Streets').</t>
  </si>
  <si>
    <t xml:space="preserve">Measure T1 (2016)</t>
  </si>
  <si>
    <t xml:space="preserve">Voter-approved $100M infrastructure bond, now fully allocated across two phases.</t>
  </si>
  <si>
    <t xml:space="preserve">Measure P</t>
  </si>
  <si>
    <t xml:space="preserve">Property-transfer-tax measure funding homelessness services; currently spending more than it brings in.</t>
  </si>
  <si>
    <t xml:space="preserve">Tax measure supporting affordable housing; finance staff note it ultimately 'rolls up to' the General Fund.</t>
  </si>
  <si>
    <t xml:space="preserve">Successor Agency</t>
  </si>
  <si>
    <t xml:space="preserve">The entity winding down the dissolved Redevelopment Agency. Its liquidation produces a one-time $7.88M transfer to the city used in the FY27-28 bridge.</t>
  </si>
  <si>
    <t xml:space="preserve">Money moved between funds. In the GF revenue tab, the large FY26 transfers increase reflects the Successor Agency dissolution and reserve movements.</t>
  </si>
  <si>
    <t xml:space="preserve">Budgetary / cash basis</t>
  </si>
  <si>
    <t xml:space="preserve">Accounting that records money when cash actually changes hands (vs accrual, which records when earned/owed). The mid-year revenue report is on this basis.</t>
  </si>
  <si>
    <t xml:space="preserve">Reserves (Operating / Stability / Catastrophic)</t>
  </si>
  <si>
    <t xml:space="preserve">Savings set aside for emergencies or smoothing. Drawing them down is a one-time fix. Berkeley's GF available cash fell from $85.4M to $30.6M between 2023 and 2025.</t>
  </si>
  <si>
    <t xml:space="preserve">PCI (Pavement Condition Index)</t>
  </si>
  <si>
    <t xml:space="preserve">0–100 score of street quality. Berkeley targets a citywide PCI of 70, ideally no street below 50.</t>
  </si>
  <si>
    <t xml:space="preserve">% Received (revenue tab)</t>
  </si>
  <si>
    <t xml:space="preserve">Mid-year actual ÷ full-year adopted budget. Around 50% mid-year is roughly on pace; well above/below flags timing or trend issues.</t>
  </si>
  <si>
    <t xml:space="preserve">% of Baseline (dept tabs)</t>
  </si>
  <si>
    <t xml:space="preserve">The proposed dollar reduction ÷ that department's baseline budget — i.e., how deep the cut is in percentage terms.</t>
  </si>
  <si>
    <t xml:space="preserve">S&amp;U Tax Allocation (dept tabs)</t>
  </si>
  <si>
    <t xml:space="preserve">One-time money assigned to a department to soften its cut in FY27 while awaiting the Nov 2026 sales-tax vote. Mainly Police, Fire, and PRW.</t>
  </si>
  <si>
    <t xml:space="preserve">Sources &amp; Links — for verification</t>
  </si>
  <si>
    <t xml:space="preserve">Click any URL to open the original document. Primary (City of Berkeley) sources listed first.</t>
  </si>
  <si>
    <t xml:space="preserve">#</t>
  </si>
  <si>
    <t xml:space="preserve">Document</t>
  </si>
  <si>
    <t xml:space="preserve">Used For</t>
  </si>
  <si>
    <t xml:space="preserve">URL</t>
  </si>
  <si>
    <t xml:space="preserve">City of Berkeley — FY27-FY28 Budget Balancing Plan (Budget &amp; Finance Cmte, Apr 16 2026)</t>
  </si>
  <si>
    <t xml:space="preserve">Deficit bridge, dept reductions, FTE, one-time resources</t>
  </si>
  <si>
    <t xml:space="preserve">https://berkeleyca.gov/sites/default/files/legislative-body-meeting-attachments/Item%2002%20Budget&amp;Finance-FY2728%20Budget%20Update__04.16.26%20(3).pdf</t>
  </si>
  <si>
    <t xml:space="preserve">City of Berkeley — FY2026 Mid-Year General Fund Revenue Report (Feb 26 2026)</t>
  </si>
  <si>
    <t xml:space="preserve">GF revenue line items (adopted vs actual)</t>
  </si>
  <si>
    <t xml:space="preserve">https://berkeleyca.gov/sites/default/files/legislative-body-meeting-attachments/Item%2002%20General%20Fund%20Revenue%20Update%20and%20Overview%20of%20Revenue%20Enhancements%20(FY%202026%20Mid-Year%20General%20Fund%20Revenue%20Report-Final).pdf</t>
  </si>
  <si>
    <t xml:space="preserve">City of Berkeley — Proposed FY27-FY31 CIP Budget Presentation (May 28 2026)</t>
  </si>
  <si>
    <t xml:space="preserve">Capital program funding by source; Measure FF/T1</t>
  </si>
  <si>
    <t xml:space="preserve">https://berkeleyca.gov/sites/default/files/legislative-body-meeting-attachments/Item%2002%20Proposed%20FY27-FY31%20Proposed%20CIP%20Budget%20Presentation.pdf</t>
  </si>
  <si>
    <t xml:space="preserve">City of Berkeley — City Budget page (document hub)</t>
  </si>
  <si>
    <t xml:space="preserve">FY25-26 adopted budget &amp; CIP links</t>
  </si>
  <si>
    <t xml:space="preserve">https://berkeleyca.gov/your-government/financial-information/city-budget</t>
  </si>
  <si>
    <t xml:space="preserve">City of Berkeley — 'Proposed budget looks to stabilize City finances' (Apr 2026)</t>
  </si>
  <si>
    <t xml:space="preserve">Funds in deficit; sales-tax context; layoffs</t>
  </si>
  <si>
    <t xml:space="preserve">https://berkeleyca.gov/community-recreation/news/proposed-budget-looks-stabilize-city-finances</t>
  </si>
  <si>
    <t xml:space="preserve">City of Berkeley — Infrastructure Projects for Potential Bond Measure</t>
  </si>
  <si>
    <t xml:space="preserve">$1.65–2B unfunded infrastructure; asset inventory</t>
  </si>
  <si>
    <t xml:space="preserve">https://berkeleyca.gov/your-government/our-work/bond-revenue-measures/infrastructure-projects-potential-bond-measure</t>
  </si>
  <si>
    <t xml:space="preserve">City of Berkeley — FY2020-2021 Adopted Biennial Budget</t>
  </si>
  <si>
    <t xml:space="preserve">Historical GF expenditure baseline</t>
  </si>
  <si>
    <t xml:space="preserve">https://berkeleyca.gov/sites/default/files/2022-01/FY-2020-2021-Adopted-Budget-Book.pdf</t>
  </si>
  <si>
    <t xml:space="preserve">City of Berkeley — Financial Condition FY2012–FY2021 (Auditor)</t>
  </si>
  <si>
    <t xml:space="preserve">Unfunded liability / pension history</t>
  </si>
  <si>
    <t xml:space="preserve">https://berkeleyca.gov/sites/default/files/documents/Berkeley's%20Financial%20Condition%20(FY%202012%20-%20FY%202021)-%20Pension%20Liabilities%20and%20Infrastructure%20Need%20Attention.pdf</t>
  </si>
  <si>
    <t xml:space="preserve">City of Berkeley — Marina Fund Update (Apr 12 2018)</t>
  </si>
  <si>
    <t xml:space="preserve">Marina structural deficit detail</t>
  </si>
  <si>
    <t xml:space="preserve">https://berkeleyca.gov/sites/default/files/documents/Marina%20Fund%20Update%20041218.pdf</t>
  </si>
  <si>
    <t xml:space="preserve">City of Berkeley — Potential Ballot Measures discussion (Dec 2 2025)</t>
  </si>
  <si>
    <t xml:space="preserve">Asset inventory; GO bond / tax context</t>
  </si>
  <si>
    <t xml:space="preserve">https://berkeleyca.gov/sites/default/files/documents/2025-12-02%20Special%20Item%2002%20Discussion%20Regarding%20Potential%20Ballot.pdf</t>
  </si>
  <si>
    <t xml:space="preserve">Berkeley Scanner — 'considers 10% budget cuts, $29M deficit' (Jan 1 2026)</t>
  </si>
  <si>
    <t xml:space="preserve">Expenditure growth; personnel/pension split</t>
  </si>
  <si>
    <t xml:space="preserve">https://www.berkeleyscanner.com/2026/01/01/community/berkeley-budget-cuts-deficit-expected/</t>
  </si>
  <si>
    <t xml:space="preserve">Berkeley Scanner — 'new budget strategy will curb rising costs' (May 19 2026)</t>
  </si>
  <si>
    <t xml:space="preserve">Baseline reset; 8%/6.5% growth; $600M liabilities</t>
  </si>
  <si>
    <t xml:space="preserve">https://www.berkeleyscanner.com/2026/05/19/community/berkeley-new-budget-strategy-rising-costs-deficit/</t>
  </si>
  <si>
    <t xml:space="preserve">Berkeley Scanner — 'tough choices as budget talks continue' (May 22 2025)</t>
  </si>
  <si>
    <t xml:space="preserve">Enterprise funds; Measure P/U1 deficits</t>
  </si>
  <si>
    <t xml:space="preserve">https://www.berkeleyscanner.com/2025/05/22/community/berkeley-budget-tough-choices-city-council/</t>
  </si>
  <si>
    <t xml:space="preserve">Berkeley Scanner — 'hiring freeze, $27M deficit' (Apr 25 2025)</t>
  </si>
  <si>
    <t xml:space="preserve">One-time reliance; affected funds</t>
  </si>
  <si>
    <t xml:space="preserve">https://www.berkeleyscanner.com/2025/04/25/community/berkeley-hiring-freeze-27-million-deficit/</t>
  </si>
  <si>
    <t xml:space="preserve">Berkeleyside — '$30M deficit: layoffs, service cuts, sales tax' (Apr 15 2026)</t>
  </si>
  <si>
    <t xml:space="preserve">Sales-tax scenario; service cuts</t>
  </si>
  <si>
    <t xml:space="preserve">https://www.berkeleyside.org/2026/04/15/berkeley-budget-deficit-sales-tax-layoffs</t>
  </si>
  <si>
    <t xml:space="preserve">Berkeleyside — fire station / budget plan (May 20 2026)</t>
  </si>
  <si>
    <t xml:space="preserve">Cuts detail; sales-tax &amp; FTE</t>
  </si>
  <si>
    <t xml:space="preserve">https://www.berkeleyside.org/2026/05/20/berkeley-budget-deficit-fire-station-close-city-council</t>
  </si>
  <si>
    <t xml:space="preserve">Berkeleyside — finance audit: pension &amp; infrastructure (May 2022)</t>
  </si>
  <si>
    <t xml:space="preserve">Unfunded liability $773.1M; reserves</t>
  </si>
  <si>
    <t xml:space="preserve">https://www.berkeleyside.org/2022/05/10/berkeley-finance-audit-pension-infrastructure-covid</t>
  </si>
  <si>
    <t xml:space="preserve">Daily Cal — 'how Berkeley is trying to fix its $30M deficit'</t>
  </si>
  <si>
    <t xml:space="preserve">Auditor findings; enterprise-fund transfers</t>
  </si>
  <si>
    <t xml:space="preserve">https://www.dailycal.org/news/city/here-s-how-berkeley-is-trying-to-fix-its-30m-deficit/article_22ae4aa9-b34b-4acb-8d33-6fbeb70c70ac.html</t>
  </si>
  <si>
    <t xml:space="preserve">Berkeley Scanner — Measure FF Safe Streets explainer (Oct 2025)</t>
  </si>
  <si>
    <t xml:space="preserve">Measure FF $270M / allocation split</t>
  </si>
  <si>
    <t xml:space="preserve">https://www.berkeleyscanner.com/2025/10/14/traffic-safety/berkeley-measure-ff-safe-streets-whats-happening/</t>
  </si>
  <si>
    <t xml:space="preserve">Disclaimer: Compiled from public documents for analysis. Planning/budget figures are subject to revision and are not intended for investment decisions.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</si>
</sst>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@"/>
    <numFmt numFmtId="168" formatCode="#,##0.0;\(#,##0.0\);\-"/>
    <numFmt numFmtId="169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2EFDA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9F9F9"/>
      <rgbColor rgb="FF660066"/>
      <rgbColor rgb="FFFF8080"/>
      <rgbColor rgb="FF0563C1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FY27 GF Baseline vs Proposed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'Dept Comparison'!B4</c:f>
              <c:strCache>
                <c:ptCount val="1"/>
                <c:pt idx="0">
                  <c:v>FY27 GF Baseline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'Dept Comparison'!$A$5:$A$19</c:f>
              <c:strCache>
                <c:ptCount val="15"/>
                <c:pt idx="0">
                  <c:v>City Attorney</c:v>
                </c:pt>
                <c:pt idx="1">
                  <c:v>City Auditor</c:v>
                </c:pt>
                <c:pt idx="2">
                  <c:v>ODPA</c:v>
                </c:pt>
                <c:pt idx="3">
                  <c:v>Mayor &amp; Council</c:v>
                </c:pt>
                <c:pt idx="4">
                  <c:v>City Clerk</c:v>
                </c:pt>
                <c:pt idx="5">
                  <c:v>City Manager's Office</c:v>
                </c:pt>
                <c:pt idx="6">
                  <c:v>Finance</c:v>
                </c:pt>
                <c:pt idx="7">
                  <c:v>Fire</c:v>
                </c:pt>
                <c:pt idx="8">
                  <c:v>HHCS</c:v>
                </c:pt>
                <c:pt idx="9">
                  <c:v>Human Resources</c:v>
                </c:pt>
                <c:pt idx="10">
                  <c:v>Information Technology</c:v>
                </c:pt>
                <c:pt idx="11">
                  <c:v>Parks, Rec &amp; Waterfront</c:v>
                </c:pt>
                <c:pt idx="12">
                  <c:v>Planning &amp; Development</c:v>
                </c:pt>
                <c:pt idx="13">
                  <c:v>Police</c:v>
                </c:pt>
                <c:pt idx="14">
                  <c:v>Public Works</c:v>
                </c:pt>
              </c:strCache>
            </c:strRef>
          </c:cat>
          <c:val>
            <c:numRef>
              <c:f>'Dept Comparison'!$B$5:$B$19</c:f>
              <c:numCache>
                <c:formatCode>\$#,##0;"($"#,##0\);\-</c:formatCode>
                <c:ptCount val="15"/>
                <c:pt idx="0">
                  <c:v>7696001</c:v>
                </c:pt>
                <c:pt idx="1">
                  <c:v>3929199</c:v>
                </c:pt>
                <c:pt idx="2">
                  <c:v>1289953</c:v>
                </c:pt>
                <c:pt idx="3">
                  <c:v>6899331</c:v>
                </c:pt>
                <c:pt idx="4">
                  <c:v>3952847</c:v>
                </c:pt>
                <c:pt idx="5">
                  <c:v>18713660</c:v>
                </c:pt>
                <c:pt idx="6">
                  <c:v>9887235</c:v>
                </c:pt>
                <c:pt idx="7">
                  <c:v>55650689</c:v>
                </c:pt>
                <c:pt idx="8">
                  <c:v>37548665</c:v>
                </c:pt>
                <c:pt idx="9">
                  <c:v>5212918</c:v>
                </c:pt>
                <c:pt idx="10">
                  <c:v>1150454</c:v>
                </c:pt>
                <c:pt idx="11">
                  <c:v>13233201</c:v>
                </c:pt>
                <c:pt idx="12">
                  <c:v>3666161</c:v>
                </c:pt>
                <c:pt idx="13">
                  <c:v>106198574</c:v>
                </c:pt>
                <c:pt idx="14">
                  <c:v>8135147</c:v>
                </c:pt>
              </c:numCache>
            </c:numRef>
          </c:val>
        </c:ser>
        <c:ser>
          <c:idx val="1"/>
          <c:order val="1"/>
          <c:tx>
            <c:strRef>
              <c:f>'Dept Comparison'!C4</c:f>
              <c:strCache>
                <c:ptCount val="1"/>
                <c:pt idx="0">
                  <c:v>FY27 GF Proposed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'Dept Comparison'!$A$5:$A$19</c:f>
              <c:strCache>
                <c:ptCount val="15"/>
                <c:pt idx="0">
                  <c:v>City Attorney</c:v>
                </c:pt>
                <c:pt idx="1">
                  <c:v>City Auditor</c:v>
                </c:pt>
                <c:pt idx="2">
                  <c:v>ODPA</c:v>
                </c:pt>
                <c:pt idx="3">
                  <c:v>Mayor &amp; Council</c:v>
                </c:pt>
                <c:pt idx="4">
                  <c:v>City Clerk</c:v>
                </c:pt>
                <c:pt idx="5">
                  <c:v>City Manager's Office</c:v>
                </c:pt>
                <c:pt idx="6">
                  <c:v>Finance</c:v>
                </c:pt>
                <c:pt idx="7">
                  <c:v>Fire</c:v>
                </c:pt>
                <c:pt idx="8">
                  <c:v>HHCS</c:v>
                </c:pt>
                <c:pt idx="9">
                  <c:v>Human Resources</c:v>
                </c:pt>
                <c:pt idx="10">
                  <c:v>Information Technology</c:v>
                </c:pt>
                <c:pt idx="11">
                  <c:v>Parks, Rec &amp; Waterfront</c:v>
                </c:pt>
                <c:pt idx="12">
                  <c:v>Planning &amp; Development</c:v>
                </c:pt>
                <c:pt idx="13">
                  <c:v>Police</c:v>
                </c:pt>
                <c:pt idx="14">
                  <c:v>Public Works</c:v>
                </c:pt>
              </c:strCache>
            </c:strRef>
          </c:cat>
          <c:val>
            <c:numRef>
              <c:f>'Dept Comparison'!$C$5:$C$19</c:f>
              <c:numCache>
                <c:formatCode>\$#,##0;"($"#,##0\);\-</c:formatCode>
                <c:ptCount val="15"/>
                <c:pt idx="0">
                  <c:v>7696001</c:v>
                </c:pt>
                <c:pt idx="1">
                  <c:v>3640639</c:v>
                </c:pt>
                <c:pt idx="2">
                  <c:v>1218245</c:v>
                </c:pt>
                <c:pt idx="3">
                  <c:v>6036186</c:v>
                </c:pt>
                <c:pt idx="4">
                  <c:v>3742391</c:v>
                </c:pt>
                <c:pt idx="5">
                  <c:v>16224173</c:v>
                </c:pt>
                <c:pt idx="6">
                  <c:v>9202879</c:v>
                </c:pt>
                <c:pt idx="7">
                  <c:v>48997597</c:v>
                </c:pt>
                <c:pt idx="8">
                  <c:v>33986993</c:v>
                </c:pt>
                <c:pt idx="9">
                  <c:v>4587144</c:v>
                </c:pt>
                <c:pt idx="10">
                  <c:v>965062</c:v>
                </c:pt>
                <c:pt idx="11">
                  <c:v>12042251</c:v>
                </c:pt>
                <c:pt idx="12">
                  <c:v>3207892</c:v>
                </c:pt>
                <c:pt idx="13">
                  <c:v>95609857</c:v>
                </c:pt>
                <c:pt idx="14">
                  <c:v>7355377</c:v>
                </c:pt>
              </c:numCache>
            </c:numRef>
          </c:val>
        </c:ser>
        <c:gapWidth val="150"/>
        <c:overlap val="0"/>
        <c:axId val="85582457"/>
        <c:axId val="3222973"/>
      </c:barChart>
      <c:catAx>
        <c:axId val="855824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2973"/>
        <c:crosses val="autoZero"/>
        <c:auto val="1"/>
        <c:lblAlgn val="ctr"/>
        <c:lblOffset val="100"/>
        <c:noMultiLvlLbl val="0"/>
      </c:catAx>
      <c:valAx>
        <c:axId val="3222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824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GF Expenditure Growth (FY20→FY26)  [src: GF Expenditure History]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Charts!B41</c:f>
              <c:strCache>
                <c:ptCount val="1"/>
                <c:pt idx="0">
                  <c:v>GF Expenditures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Charts!$A$42:$A$45</c:f>
              <c:strCache>
                <c:ptCount val="4"/>
                <c:pt idx="0">
                  <c:v>FY2020</c:v>
                </c:pt>
                <c:pt idx="1">
                  <c:v>FY2021</c:v>
                </c:pt>
                <c:pt idx="2">
                  <c:v>FY2026</c:v>
                </c:pt>
                <c:pt idx="3">
                  <c:v/>
                </c:pt>
              </c:strCache>
            </c:strRef>
          </c:cat>
          <c:val>
            <c:numRef>
              <c:f>Charts!$B$42:$B$45</c:f>
              <c:numCache>
                <c:formatCode>\$#,##0;"($"#,##0\);\-</c:formatCode>
                <c:ptCount val="4"/>
                <c:pt idx="0">
                  <c:v>191200000</c:v>
                </c:pt>
                <c:pt idx="1">
                  <c:v>194900000</c:v>
                </c:pt>
                <c:pt idx="2">
                  <c:v>311000000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476257"/>
        <c:axId val="50114523"/>
      </c:lineChart>
      <c:catAx>
        <c:axId val="89476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14523"/>
        <c:crosses val="autoZero"/>
        <c:auto val="1"/>
        <c:lblAlgn val="ctr"/>
        <c:lblOffset val="100"/>
        <c:noMultiLvlLbl val="0"/>
      </c:catAx>
      <c:valAx>
        <c:axId val="50114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76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GF Cost Composition FY26  [src: Personnel &amp; Pension]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Charts!B48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\$#,##0;&quot;($&quot;#,##0\);\-" sourceLinked="1"/>
            <c:dLbl>
              <c:idx val="0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Charts!$A$49:$A$52</c:f>
              <c:strCache>
                <c:ptCount val="4"/>
                <c:pt idx="0">
                  <c:v>Salaries</c:v>
                </c:pt>
                <c:pt idx="1">
                  <c:v>Benefits/Pension</c:v>
                </c:pt>
                <c:pt idx="2">
                  <c:v>Non-personnel</c:v>
                </c:pt>
                <c:pt idx="3">
                  <c:v/>
                </c:pt>
              </c:strCache>
            </c:strRef>
          </c:cat>
          <c:val>
            <c:numRef>
              <c:f>Charts!$B$49:$B$52</c:f>
              <c:numCache>
                <c:formatCode>\$#,##0;"($"#,##0\);\-</c:formatCode>
                <c:ptCount val="4"/>
                <c:pt idx="0">
                  <c:v>105000000</c:v>
                </c:pt>
                <c:pt idx="1">
                  <c:v>106000000</c:v>
                </c:pt>
                <c:pt idx="2">
                  <c:v>100935259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FY27 Deficit Bridge  [src: Deficit Bridge]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Charts!B55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Charts!$A$56:$A$61</c:f>
              <c:strCache>
                <c:ptCount val="6"/>
                <c:pt idx="0">
                  <c:v>Initial deficit</c:v>
                </c:pt>
                <c:pt idx="1">
                  <c:v>+ Revenue proj.</c:v>
                </c:pt>
                <c:pt idx="2">
                  <c:v>+ Debt svc/parking/non-dept adj.</c:v>
                </c:pt>
                <c:pt idx="3">
                  <c:v>+ One-time use</c:v>
                </c:pt>
                <c:pt idx="4">
                  <c:v>Final FY27 deficit</c:v>
                </c:pt>
                <c:pt idx="5">
                  <c:v/>
                </c:pt>
              </c:strCache>
            </c:strRef>
          </c:cat>
          <c:val>
            <c:numRef>
              <c:f>Charts!$B$56:$B$61</c:f>
              <c:numCache>
                <c:formatCode>\$#,##0;"($"#,##0\);\-</c:formatCode>
                <c:ptCount val="6"/>
                <c:pt idx="0">
                  <c:v>-32256300</c:v>
                </c:pt>
                <c:pt idx="1">
                  <c:v>5111718</c:v>
                </c:pt>
                <c:pt idx="2">
                  <c:v>-4204757</c:v>
                </c:pt>
                <c:pt idx="3">
                  <c:v>2100000</c:v>
                </c:pt>
                <c:pt idx="4">
                  <c:v>-29249339</c:v>
                </c:pt>
              </c:numCache>
            </c:numRef>
          </c:val>
        </c:ser>
        <c:gapWidth val="150"/>
        <c:overlap val="0"/>
        <c:axId val="61022199"/>
        <c:axId val="54408652"/>
      </c:barChart>
      <c:catAx>
        <c:axId val="61022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08652"/>
        <c:crosses val="autoZero"/>
        <c:auto val="1"/>
        <c:lblAlgn val="ctr"/>
        <c:lblOffset val="100"/>
        <c:noMultiLvlLbl val="0"/>
      </c:catAx>
      <c:valAx>
        <c:axId val="54408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22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FY27 GF Cut by Department  [src: Dept Comparison]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Charts!B64</c:f>
              <c:strCache>
                <c:ptCount val="1"/>
                <c:pt idx="0">
                  <c:v>FY27 Cut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Charts!$A$65:$A$79</c:f>
              <c:strCache>
                <c:ptCount val="15"/>
                <c:pt idx="0">
                  <c:v>Police</c:v>
                </c:pt>
                <c:pt idx="1">
                  <c:v>Fire</c:v>
                </c:pt>
                <c:pt idx="2">
                  <c:v>HHCS</c:v>
                </c:pt>
                <c:pt idx="3">
                  <c:v>CMO</c:v>
                </c:pt>
                <c:pt idx="4">
                  <c:v>PRW</c:v>
                </c:pt>
                <c:pt idx="5">
                  <c:v>Mayor &amp; Council</c:v>
                </c:pt>
                <c:pt idx="6">
                  <c:v>Public Works</c:v>
                </c:pt>
                <c:pt idx="7">
                  <c:v>Finance</c:v>
                </c:pt>
                <c:pt idx="8">
                  <c:v>HR</c:v>
                </c:pt>
                <c:pt idx="9">
                  <c:v>Planning &amp; Dev</c:v>
                </c:pt>
                <c:pt idx="10">
                  <c:v>City Auditor</c:v>
                </c:pt>
                <c:pt idx="11">
                  <c:v>City Clerk</c:v>
                </c:pt>
                <c:pt idx="12">
                  <c:v>IT</c:v>
                </c:pt>
                <c:pt idx="13">
                  <c:v>ODPA</c:v>
                </c:pt>
                <c:pt idx="14">
                  <c:v/>
                </c:pt>
              </c:strCache>
            </c:strRef>
          </c:cat>
          <c:val>
            <c:numRef>
              <c:f>Charts!$B$65:$B$79</c:f>
              <c:numCache>
                <c:formatCode>\$#,##0;"($"#,##0\);\-</c:formatCode>
                <c:ptCount val="15"/>
                <c:pt idx="0">
                  <c:v>10588717</c:v>
                </c:pt>
                <c:pt idx="1">
                  <c:v>6653092</c:v>
                </c:pt>
                <c:pt idx="2">
                  <c:v>3561672</c:v>
                </c:pt>
                <c:pt idx="3">
                  <c:v>2489487</c:v>
                </c:pt>
                <c:pt idx="4">
                  <c:v>1190950</c:v>
                </c:pt>
                <c:pt idx="5">
                  <c:v>863145</c:v>
                </c:pt>
                <c:pt idx="6">
                  <c:v>779771</c:v>
                </c:pt>
                <c:pt idx="7">
                  <c:v>684356</c:v>
                </c:pt>
                <c:pt idx="8">
                  <c:v>625774</c:v>
                </c:pt>
                <c:pt idx="9">
                  <c:v>458269</c:v>
                </c:pt>
                <c:pt idx="10">
                  <c:v>288560</c:v>
                </c:pt>
                <c:pt idx="11">
                  <c:v>210456</c:v>
                </c:pt>
                <c:pt idx="12">
                  <c:v>185391</c:v>
                </c:pt>
                <c:pt idx="13">
                  <c:v>71708</c:v>
                </c:pt>
              </c:numCache>
            </c:numRef>
          </c:val>
        </c:ser>
        <c:gapWidth val="150"/>
        <c:overlap val="0"/>
        <c:axId val="94509906"/>
        <c:axId val="86892925"/>
      </c:barChart>
      <c:catAx>
        <c:axId val="9450990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92925"/>
        <c:crosses val="autoZero"/>
        <c:auto val="1"/>
        <c:lblAlgn val="ctr"/>
        <c:lblOffset val="100"/>
        <c:noMultiLvlLbl val="0"/>
      </c:catAx>
      <c:valAx>
        <c:axId val="86892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099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25560</xdr:rowOff>
    </xdr:from>
    <xdr:to>
      <xdr:col>7</xdr:col>
      <xdr:colOff>39960</xdr:colOff>
      <xdr:row>38</xdr:row>
      <xdr:rowOff>26280</xdr:rowOff>
    </xdr:to>
    <xdr:graphicFrame>
      <xdr:nvGraphicFramePr>
        <xdr:cNvPr id="0" name="Chart 1"/>
        <xdr:cNvGraphicFramePr/>
      </xdr:nvGraphicFramePr>
      <xdr:xfrm>
        <a:off x="0" y="4721400"/>
        <a:ext cx="86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7</xdr:col>
      <xdr:colOff>38520</xdr:colOff>
      <xdr:row>17</xdr:row>
      <xdr:rowOff>182520</xdr:rowOff>
    </xdr:to>
    <xdr:graphicFrame>
      <xdr:nvGraphicFramePr>
        <xdr:cNvPr id="1" name="Chart 1"/>
        <xdr:cNvGraphicFramePr/>
      </xdr:nvGraphicFramePr>
      <xdr:xfrm>
        <a:off x="0" y="570600"/>
        <a:ext cx="539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17</xdr:col>
      <xdr:colOff>507240</xdr:colOff>
      <xdr:row>17</xdr:row>
      <xdr:rowOff>182520</xdr:rowOff>
    </xdr:to>
    <xdr:graphicFrame>
      <xdr:nvGraphicFramePr>
        <xdr:cNvPr id="2" name="Chart 2"/>
        <xdr:cNvGraphicFramePr/>
      </xdr:nvGraphicFramePr>
      <xdr:xfrm>
        <a:off x="6583680" y="570600"/>
        <a:ext cx="539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7</xdr:col>
      <xdr:colOff>38520</xdr:colOff>
      <xdr:row>35</xdr:row>
      <xdr:rowOff>182520</xdr:rowOff>
    </xdr:to>
    <xdr:graphicFrame>
      <xdr:nvGraphicFramePr>
        <xdr:cNvPr id="3" name="Chart 3"/>
        <xdr:cNvGraphicFramePr/>
      </xdr:nvGraphicFramePr>
      <xdr:xfrm>
        <a:off x="0" y="3999600"/>
        <a:ext cx="539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17</xdr:col>
      <xdr:colOff>507240</xdr:colOff>
      <xdr:row>37</xdr:row>
      <xdr:rowOff>161640</xdr:rowOff>
    </xdr:to>
    <xdr:graphicFrame>
      <xdr:nvGraphicFramePr>
        <xdr:cNvPr id="4" name="Chart 4"/>
        <xdr:cNvGraphicFramePr/>
      </xdr:nvGraphicFramePr>
      <xdr:xfrm>
        <a:off x="6583680" y="399960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berkeleyca.gov/sites/default/files/legislative-body-meeting-attachments/Item%2002%20Budget&amp;Finance-FY2728%20Budget%20Update__04.16.26%20(3).pdf" TargetMode="External"/><Relationship Id="rId2" Type="http://schemas.openxmlformats.org/officeDocument/2006/relationships/hyperlink" Target="https://berkeleyca.gov/sites/default/files/legislative-body-meeting-attachments/Item%2002%20General%20Fund%20Revenue%20Update%20and%20Overview%20of%20Revenue%20Enhancements%20(FY%202026%20Mid-Year%20General%20Fund%20Revenue%20Report-Final).pdf" TargetMode="External"/><Relationship Id="rId3" Type="http://schemas.openxmlformats.org/officeDocument/2006/relationships/hyperlink" Target="https://berkeleyca.gov/sites/default/files/legislative-body-meeting-attachments/Item%2002%20Proposed%20FY27-FY31%20Proposed%20CIP%20Budget%20Presentation.pdf" TargetMode="External"/><Relationship Id="rId4" Type="http://schemas.openxmlformats.org/officeDocument/2006/relationships/hyperlink" Target="https://berkeleyca.gov/your-government/financial-information/city-budget" TargetMode="External"/><Relationship Id="rId5" Type="http://schemas.openxmlformats.org/officeDocument/2006/relationships/hyperlink" Target="https://berkeleyca.gov/community-recreation/news/proposed-budget-looks-stabilize-city-finances" TargetMode="External"/><Relationship Id="rId6" Type="http://schemas.openxmlformats.org/officeDocument/2006/relationships/hyperlink" Target="https://berkeleyca.gov/your-government/our-work/bond-revenue-measures/infrastructure-projects-potential-bond-measure" TargetMode="External"/><Relationship Id="rId7" Type="http://schemas.openxmlformats.org/officeDocument/2006/relationships/hyperlink" Target="https://berkeleyca.gov/sites/default/files/2022-01/FY-2020-2021-Adopted-Budget-Book.pdf" TargetMode="External"/><Relationship Id="rId8" Type="http://schemas.openxmlformats.org/officeDocument/2006/relationships/hyperlink" Target="https://berkeleyca.gov/sites/default/files/documents/Berkeley&apos;s%20Financial%20Condition%20(FY%202012%20-%20FY%202021)-%20Pension%20Liabilities%20and%20Infrastructure%20Need%20Attention.pdf" TargetMode="External"/><Relationship Id="rId9" Type="http://schemas.openxmlformats.org/officeDocument/2006/relationships/hyperlink" Target="https://berkeleyca.gov/sites/default/files/documents/Marina%20Fund%20Update%20041218.pdf" TargetMode="External"/><Relationship Id="rId10" Type="http://schemas.openxmlformats.org/officeDocument/2006/relationships/hyperlink" Target="https://berkeleyca.gov/sites/default/files/documents/2025-12-02%20Special%20Item%2002%20Discussion%20Regarding%20Potential%20Ballot.pdf" TargetMode="External"/><Relationship Id="rId11" Type="http://schemas.openxmlformats.org/officeDocument/2006/relationships/hyperlink" Target="https://www.berkeleyscanner.com/2026/01/01/community/berkeley-budget-cuts-deficit-expected/" TargetMode="External"/><Relationship Id="rId12" Type="http://schemas.openxmlformats.org/officeDocument/2006/relationships/hyperlink" Target="https://www.berkeleyscanner.com/2026/05/19/community/berkeley-new-budget-strategy-rising-costs-deficit/" TargetMode="External"/><Relationship Id="rId13" Type="http://schemas.openxmlformats.org/officeDocument/2006/relationships/hyperlink" Target="https://www.berkeleyscanner.com/2025/05/22/community/berkeley-budget-tough-choices-city-council/" TargetMode="External"/><Relationship Id="rId14" Type="http://schemas.openxmlformats.org/officeDocument/2006/relationships/hyperlink" Target="https://www.berkeleyscanner.com/2025/04/25/community/berkeley-hiring-freeze-27-million-deficit/" TargetMode="External"/><Relationship Id="rId15" Type="http://schemas.openxmlformats.org/officeDocument/2006/relationships/hyperlink" Target="https://www.berkeleyside.org/2026/04/15/berkeley-budget-deficit-sales-tax-layoffs" TargetMode="External"/><Relationship Id="rId16" Type="http://schemas.openxmlformats.org/officeDocument/2006/relationships/hyperlink" Target="https://www.berkeleyside.org/2026/05/20/berkeley-budget-deficit-fire-station-close-city-council" TargetMode="External"/><Relationship Id="rId17" Type="http://schemas.openxmlformats.org/officeDocument/2006/relationships/hyperlink" Target="https://www.berkeleyside.org/2022/05/10/berkeley-finance-audit-pension-infrastructure-covid" TargetMode="External"/><Relationship Id="rId18" Type="http://schemas.openxmlformats.org/officeDocument/2006/relationships/hyperlink" Target="https://www.dailycal.org/news/city/here-s-how-berkeley-is-trying-to-fix-its-30m-deficit/article_22ae4aa9-b34b-4acb-8d33-6fbeb70c70ac.html" TargetMode="External"/><Relationship Id="rId19" Type="http://schemas.openxmlformats.org/officeDocument/2006/relationships/hyperlink" Target="https://www.berkeleyscanner.com/2025/10/14/traffic-safety/berkeley-measure-ff-safe-streets-whats-happeni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0"/>
  </cols>
  <sheetData>
    <row r="1" customFormat="false" ht="19.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B3" s="4"/>
    </row>
    <row r="4" customFormat="false" ht="15" hidden="false" customHeight="true" outlineLevel="0" collapsed="false">
      <c r="B4" s="5" t="s">
        <v>2</v>
      </c>
    </row>
    <row r="5" customFormat="false" ht="30" hidden="false" customHeight="true" outlineLevel="0" collapsed="false">
      <c r="B5" s="4" t="s">
        <v>3</v>
      </c>
    </row>
    <row r="6" customFormat="false" ht="15" hidden="false" customHeight="true" outlineLevel="0" collapsed="false">
      <c r="B6" s="4"/>
    </row>
    <row r="7" customFormat="false" ht="15" hidden="false" customHeight="true" outlineLevel="0" collapsed="false">
      <c r="B7" s="5" t="s">
        <v>4</v>
      </c>
    </row>
    <row r="8" customFormat="false" ht="30" hidden="false" customHeight="true" outlineLevel="0" collapsed="false">
      <c r="B8" s="4" t="s">
        <v>5</v>
      </c>
    </row>
    <row r="9" customFormat="false" ht="15" hidden="false" customHeight="true" outlineLevel="0" collapsed="false">
      <c r="B9" s="4"/>
    </row>
    <row r="10" customFormat="false" ht="15" hidden="false" customHeight="true" outlineLevel="0" collapsed="false">
      <c r="B10" s="5" t="s">
        <v>6</v>
      </c>
    </row>
    <row r="11" customFormat="false" ht="30" hidden="false" customHeight="true" outlineLevel="0" collapsed="false">
      <c r="B11" s="4" t="s">
        <v>7</v>
      </c>
    </row>
    <row r="12" customFormat="false" ht="30" hidden="false" customHeight="true" outlineLevel="0" collapsed="false">
      <c r="B12" s="4" t="s">
        <v>8</v>
      </c>
    </row>
    <row r="13" customFormat="false" ht="30" hidden="false" customHeight="true" outlineLevel="0" collapsed="false">
      <c r="B13" s="4" t="s">
        <v>9</v>
      </c>
    </row>
    <row r="14" customFormat="false" ht="30" hidden="false" customHeight="true" outlineLevel="0" collapsed="false">
      <c r="B14" s="4" t="s">
        <v>10</v>
      </c>
    </row>
    <row r="15" customFormat="false" ht="30" hidden="false" customHeight="true" outlineLevel="0" collapsed="false">
      <c r="B15" s="4" t="s">
        <v>11</v>
      </c>
    </row>
    <row r="16" customFormat="false" ht="15" hidden="false" customHeight="true" outlineLevel="0" collapsed="false">
      <c r="B16" s="4" t="s">
        <v>12</v>
      </c>
    </row>
    <row r="17" customFormat="false" ht="15" hidden="false" customHeight="true" outlineLevel="0" collapsed="false">
      <c r="B17" s="4" t="s">
        <v>13</v>
      </c>
    </row>
    <row r="18" customFormat="false" ht="15" hidden="false" customHeight="true" outlineLevel="0" collapsed="false">
      <c r="B18" s="4" t="s">
        <v>14</v>
      </c>
    </row>
    <row r="19" customFormat="false" ht="30" hidden="false" customHeight="true" outlineLevel="0" collapsed="false">
      <c r="B19" s="4" t="s">
        <v>15</v>
      </c>
    </row>
    <row r="20" customFormat="false" ht="30" hidden="false" customHeight="true" outlineLevel="0" collapsed="false">
      <c r="B20" s="4" t="s">
        <v>16</v>
      </c>
    </row>
    <row r="21" customFormat="false" ht="30" hidden="false" customHeight="true" outlineLevel="0" collapsed="false">
      <c r="B21" s="4" t="s">
        <v>17</v>
      </c>
    </row>
    <row r="22" customFormat="false" ht="15" hidden="false" customHeight="true" outlineLevel="0" collapsed="false">
      <c r="B22" s="4" t="s">
        <v>18</v>
      </c>
    </row>
    <row r="23" customFormat="false" ht="15" hidden="false" customHeight="true" outlineLevel="0" collapsed="false">
      <c r="B23" s="4" t="s">
        <v>19</v>
      </c>
    </row>
    <row r="24" customFormat="false" ht="30" hidden="false" customHeight="true" outlineLevel="0" collapsed="false">
      <c r="B24" s="4" t="s">
        <v>20</v>
      </c>
    </row>
    <row r="25" customFormat="false" ht="30" hidden="false" customHeight="true" outlineLevel="0" collapsed="false">
      <c r="B25" s="4" t="s">
        <v>21</v>
      </c>
    </row>
    <row r="26" customFormat="false" ht="15" hidden="false" customHeight="true" outlineLevel="0" collapsed="false">
      <c r="B26" s="4"/>
    </row>
    <row r="27" customFormat="false" ht="15" hidden="false" customHeight="true" outlineLevel="0" collapsed="false">
      <c r="B27" s="5" t="s">
        <v>22</v>
      </c>
    </row>
    <row r="28" customFormat="false" ht="15" hidden="false" customHeight="true" outlineLevel="0" collapsed="false">
      <c r="B28" s="4" t="s">
        <v>23</v>
      </c>
    </row>
    <row r="29" customFormat="false" ht="30" hidden="false" customHeight="true" outlineLevel="0" collapsed="false">
      <c r="B29" s="4" t="s">
        <v>24</v>
      </c>
    </row>
    <row r="30" customFormat="false" ht="15" hidden="false" customHeight="true" outlineLevel="0" collapsed="false">
      <c r="B30" s="4" t="s">
        <v>25</v>
      </c>
    </row>
    <row r="31" customFormat="false" ht="30" hidden="false" customHeight="true" outlineLevel="0" collapsed="false">
      <c r="B31" s="4" t="s">
        <v>26</v>
      </c>
    </row>
    <row r="32" customFormat="false" ht="30" hidden="false" customHeight="true" outlineLevel="0" collapsed="false">
      <c r="B32" s="4" t="s">
        <v>27</v>
      </c>
    </row>
    <row r="33" customFormat="false" ht="15" hidden="false" customHeight="true" outlineLevel="0" collapsed="false">
      <c r="B33" s="4"/>
    </row>
    <row r="34" customFormat="false" ht="15" hidden="false" customHeight="true" outlineLevel="0" collapsed="false">
      <c r="B34" s="5" t="s">
        <v>28</v>
      </c>
    </row>
    <row r="35" customFormat="false" ht="15" hidden="false" customHeight="true" outlineLevel="0" collapsed="false">
      <c r="B35" s="6" t="s">
        <v>29</v>
      </c>
    </row>
    <row r="36" customFormat="false" ht="15" hidden="false" customHeight="true" outlineLevel="0" collapsed="false">
      <c r="B36" s="6" t="s">
        <v>30</v>
      </c>
    </row>
    <row r="37" customFormat="false" ht="15" hidden="false" customHeight="true" outlineLevel="0" collapsed="false">
      <c r="B37" s="6" t="s">
        <v>31</v>
      </c>
    </row>
    <row r="38" customFormat="false" ht="15" hidden="false" customHeight="true" outlineLevel="0" collapsed="false">
      <c r="B38" s="6" t="s">
        <v>32</v>
      </c>
    </row>
    <row r="39" customFormat="false" ht="15" hidden="false" customHeight="true" outlineLevel="0" collapsed="false">
      <c r="B39" s="4"/>
    </row>
    <row r="40" customFormat="false" ht="15" hidden="false" customHeight="true" outlineLevel="0" collapsed="false">
      <c r="B40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6"/>
  </cols>
  <sheetData>
    <row r="1" customFormat="false" ht="15.75" hidden="false" customHeight="true" outlineLevel="0" collapsed="false">
      <c r="A1" s="7" t="s">
        <v>34</v>
      </c>
    </row>
    <row r="2" customFormat="false" ht="15" hidden="false" customHeight="true" outlineLevel="0" collapsed="false">
      <c r="A2" s="3" t="s">
        <v>35</v>
      </c>
    </row>
    <row r="4" customFormat="false" ht="26.25" hidden="false" customHeight="true" outlineLevel="0" collapsed="false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</row>
    <row r="5" customFormat="false" ht="15" hidden="false" customHeight="true" outlineLevel="0" collapsed="false">
      <c r="A5" s="9" t="s">
        <v>43</v>
      </c>
      <c r="B5" s="10" t="n">
        <v>95236939</v>
      </c>
      <c r="C5" s="10" t="n">
        <v>47402611</v>
      </c>
      <c r="D5" s="11" t="n">
        <f aca="false">C5/B5</f>
        <v>0.49773345823305</v>
      </c>
      <c r="E5" s="10" t="n">
        <v>45385988</v>
      </c>
      <c r="F5" s="10" t="n">
        <f aca="false">C5-E5</f>
        <v>2016623</v>
      </c>
      <c r="G5" s="11" t="n">
        <f aca="false">IF(E5=0,"",(C5-E5)/E5)</f>
        <v>0.04443272227543</v>
      </c>
    </row>
    <row r="6" customFormat="false" ht="15" hidden="false" customHeight="true" outlineLevel="0" collapsed="false">
      <c r="A6" s="9" t="s">
        <v>44</v>
      </c>
      <c r="B6" s="10" t="n">
        <v>3400000</v>
      </c>
      <c r="C6" s="10" t="n">
        <v>684808</v>
      </c>
      <c r="D6" s="11" t="n">
        <f aca="false">C6/B6</f>
        <v>0.201414117647059</v>
      </c>
      <c r="E6" s="10" t="n">
        <v>727555</v>
      </c>
      <c r="F6" s="10" t="n">
        <f aca="false">C6-E6</f>
        <v>-42747</v>
      </c>
      <c r="G6" s="11" t="n">
        <f aca="false">IF(E6=0,"",(C6-E6)/E6)</f>
        <v>-0.05875432097917</v>
      </c>
    </row>
    <row r="7" customFormat="false" ht="15" hidden="false" customHeight="true" outlineLevel="0" collapsed="false">
      <c r="A7" s="9" t="s">
        <v>45</v>
      </c>
      <c r="B7" s="10" t="n">
        <v>4973066</v>
      </c>
      <c r="C7" s="10" t="n">
        <v>4439145</v>
      </c>
      <c r="D7" s="11" t="n">
        <f aca="false">C7/B7</f>
        <v>0.892637459466655</v>
      </c>
      <c r="E7" s="10" t="n">
        <v>4165858</v>
      </c>
      <c r="F7" s="10" t="n">
        <f aca="false">C7-E7</f>
        <v>273287</v>
      </c>
      <c r="G7" s="11" t="n">
        <f aca="false">IF(E7=0,"",(C7-E7)/E7)</f>
        <v>0.0656016119608494</v>
      </c>
    </row>
    <row r="8" customFormat="false" ht="15" hidden="false" customHeight="true" outlineLevel="0" collapsed="false">
      <c r="A8" s="9" t="s">
        <v>46</v>
      </c>
      <c r="B8" s="10" t="n">
        <v>22000000</v>
      </c>
      <c r="C8" s="10" t="n">
        <v>14079634</v>
      </c>
      <c r="D8" s="11" t="n">
        <f aca="false">C8/B8</f>
        <v>0.639983363636364</v>
      </c>
      <c r="E8" s="10" t="n">
        <v>11918015</v>
      </c>
      <c r="F8" s="10" t="n">
        <f aca="false">C8-E8</f>
        <v>2161619</v>
      </c>
      <c r="G8" s="11" t="n">
        <f aca="false">IF(E8=0,"",(C8-E8)/E8)</f>
        <v>0.181374079492264</v>
      </c>
    </row>
    <row r="9" customFormat="false" ht="15" hidden="false" customHeight="true" outlineLevel="0" collapsed="false">
      <c r="A9" s="9" t="s">
        <v>47</v>
      </c>
      <c r="B9" s="10" t="n">
        <v>9100000</v>
      </c>
      <c r="C9" s="10" t="n">
        <v>6586501</v>
      </c>
      <c r="D9" s="11" t="n">
        <f aca="false">C9/B9</f>
        <v>0.723791318681319</v>
      </c>
      <c r="E9" s="10" t="n">
        <v>4833858</v>
      </c>
      <c r="F9" s="10" t="n">
        <f aca="false">C9-E9</f>
        <v>1752643</v>
      </c>
      <c r="G9" s="11" t="n">
        <f aca="false">IF(E9=0,"",(C9-E9)/E9)</f>
        <v>0.362576434806318</v>
      </c>
    </row>
    <row r="10" customFormat="false" ht="15" hidden="false" customHeight="true" outlineLevel="0" collapsed="false">
      <c r="A10" s="9" t="s">
        <v>48</v>
      </c>
      <c r="B10" s="10" t="n">
        <v>19106713</v>
      </c>
      <c r="C10" s="10" t="n">
        <v>9623130</v>
      </c>
      <c r="D10" s="11" t="n">
        <f aca="false">C10/B10</f>
        <v>0.503651779351058</v>
      </c>
      <c r="E10" s="10" t="n">
        <v>9364937</v>
      </c>
      <c r="F10" s="10" t="n">
        <f aca="false">C10-E10</f>
        <v>258193</v>
      </c>
      <c r="G10" s="11" t="n">
        <f aca="false">IF(E10=0,"",(C10-E10)/E10)</f>
        <v>0.0275701801304163</v>
      </c>
    </row>
    <row r="11" customFormat="false" ht="15" hidden="false" customHeight="true" outlineLevel="0" collapsed="false">
      <c r="A11" s="9" t="s">
        <v>49</v>
      </c>
      <c r="B11" s="10" t="n">
        <v>1147387</v>
      </c>
      <c r="C11" s="10" t="n">
        <v>405897</v>
      </c>
      <c r="D11" s="11" t="n">
        <f aca="false">C11/B11</f>
        <v>0.353757712088424</v>
      </c>
      <c r="E11" s="10" t="n">
        <v>512817</v>
      </c>
      <c r="F11" s="10" t="n">
        <f aca="false">C11-E11</f>
        <v>-106920</v>
      </c>
      <c r="G11" s="11" t="n">
        <f aca="false">IF(E11=0,"",(C11-E11)/E11)</f>
        <v>-0.208495428193683</v>
      </c>
    </row>
    <row r="12" customFormat="false" ht="15" hidden="false" customHeight="true" outlineLevel="0" collapsed="false">
      <c r="A12" s="9" t="s">
        <v>50</v>
      </c>
      <c r="B12" s="10" t="n">
        <v>19396728</v>
      </c>
      <c r="C12" s="10" t="n">
        <v>8351808</v>
      </c>
      <c r="D12" s="11" t="n">
        <f aca="false">C12/B12</f>
        <v>0.430578188238759</v>
      </c>
      <c r="E12" s="10" t="n">
        <v>9047804</v>
      </c>
      <c r="F12" s="10" t="n">
        <f aca="false">C12-E12</f>
        <v>-695996</v>
      </c>
      <c r="G12" s="11" t="n">
        <f aca="false">IF(E12=0,"",(C12-E12)/E12)</f>
        <v>-0.0769243011895483</v>
      </c>
    </row>
    <row r="13" customFormat="false" ht="15" hidden="false" customHeight="true" outlineLevel="0" collapsed="false">
      <c r="A13" s="9" t="s">
        <v>51</v>
      </c>
      <c r="B13" s="10" t="n">
        <v>6500000</v>
      </c>
      <c r="C13" s="10" t="n">
        <v>4679395</v>
      </c>
      <c r="D13" s="11" t="n">
        <f aca="false">C13/B13</f>
        <v>0.719906923076923</v>
      </c>
      <c r="E13" s="10" t="n">
        <v>3583976</v>
      </c>
      <c r="F13" s="10" t="n">
        <f aca="false">C13-E13</f>
        <v>1095419</v>
      </c>
      <c r="G13" s="11" t="n">
        <f aca="false">IF(E13=0,"",(C13-E13)/E13)</f>
        <v>0.305643508773496</v>
      </c>
    </row>
    <row r="14" customFormat="false" ht="15" hidden="false" customHeight="true" outlineLevel="0" collapsed="false">
      <c r="A14" s="9" t="s">
        <v>52</v>
      </c>
      <c r="B14" s="10" t="n">
        <v>1400000</v>
      </c>
      <c r="C14" s="10" t="n">
        <v>641433</v>
      </c>
      <c r="D14" s="11" t="n">
        <f aca="false">C14/B14</f>
        <v>0.458166428571429</v>
      </c>
      <c r="E14" s="10" t="n">
        <v>661730</v>
      </c>
      <c r="F14" s="10" t="n">
        <f aca="false">C14-E14</f>
        <v>-20297</v>
      </c>
      <c r="G14" s="11" t="n">
        <f aca="false">IF(E14=0,"",(C14-E14)/E14)</f>
        <v>-0.0306726308313058</v>
      </c>
    </row>
    <row r="15" customFormat="false" ht="15" hidden="false" customHeight="true" outlineLevel="0" collapsed="false">
      <c r="A15" s="9" t="s">
        <v>53</v>
      </c>
      <c r="B15" s="10" t="n">
        <v>24480000</v>
      </c>
      <c r="C15" s="10" t="n">
        <v>2336893</v>
      </c>
      <c r="D15" s="11" t="n">
        <f aca="false">C15/B15</f>
        <v>0.0954613153594771</v>
      </c>
      <c r="E15" s="10" t="n">
        <v>1338858</v>
      </c>
      <c r="F15" s="10" t="n">
        <f aca="false">C15-E15</f>
        <v>998035</v>
      </c>
      <c r="G15" s="11" t="n">
        <f aca="false">IF(E15=0,"",(C15-E15)/E15)</f>
        <v>0.745437529596119</v>
      </c>
    </row>
    <row r="16" customFormat="false" ht="15" hidden="false" customHeight="true" outlineLevel="0" collapsed="false">
      <c r="A16" s="9" t="s">
        <v>54</v>
      </c>
      <c r="B16" s="10" t="n">
        <v>18000</v>
      </c>
      <c r="C16" s="10" t="n">
        <v>0</v>
      </c>
      <c r="D16" s="11" t="n">
        <f aca="false">C16/B16</f>
        <v>0</v>
      </c>
      <c r="E16" s="10" t="n">
        <v>19017</v>
      </c>
      <c r="F16" s="10" t="n">
        <f aca="false">C16-E16</f>
        <v>-19017</v>
      </c>
      <c r="G16" s="11" t="n">
        <f aca="false">IF(E16=0,"",(C16-E16)/E16)</f>
        <v>-1</v>
      </c>
    </row>
    <row r="17" customFormat="false" ht="15" hidden="false" customHeight="true" outlineLevel="0" collapsed="false">
      <c r="A17" s="9" t="s">
        <v>55</v>
      </c>
      <c r="B17" s="10" t="n">
        <v>6500000</v>
      </c>
      <c r="C17" s="10" t="n">
        <v>298004</v>
      </c>
      <c r="D17" s="11" t="n">
        <f aca="false">C17/B17</f>
        <v>0.0458467692307692</v>
      </c>
      <c r="E17" s="10" t="n">
        <v>128163</v>
      </c>
      <c r="F17" s="10" t="n">
        <f aca="false">C17-E17</f>
        <v>169841</v>
      </c>
      <c r="G17" s="11" t="n">
        <f aca="false">IF(E17=0,"",(C17-E17)/E17)</f>
        <v>1.32519525916216</v>
      </c>
    </row>
    <row r="18" customFormat="false" ht="15" hidden="false" customHeight="true" outlineLevel="0" collapsed="false">
      <c r="A18" s="9" t="s">
        <v>56</v>
      </c>
      <c r="B18" s="10" t="n">
        <v>3500000</v>
      </c>
      <c r="C18" s="10" t="n">
        <v>363780</v>
      </c>
      <c r="D18" s="11" t="n">
        <f aca="false">C18/B18</f>
        <v>0.103937142857143</v>
      </c>
      <c r="E18" s="10" t="n">
        <v>0</v>
      </c>
      <c r="F18" s="10" t="n">
        <f aca="false">C18-E18</f>
        <v>363780</v>
      </c>
      <c r="G18" s="11" t="str">
        <f aca="false">IF(E18=0,"",(C18-E18)/E18)</f>
        <v/>
      </c>
    </row>
    <row r="19" customFormat="false" ht="15" hidden="false" customHeight="true" outlineLevel="0" collapsed="false">
      <c r="A19" s="9" t="s">
        <v>57</v>
      </c>
      <c r="B19" s="10" t="n">
        <v>5453059</v>
      </c>
      <c r="C19" s="10" t="n">
        <v>3852627</v>
      </c>
      <c r="D19" s="11" t="n">
        <f aca="false">C19/B19</f>
        <v>0.706507485064805</v>
      </c>
      <c r="E19" s="10" t="n">
        <v>1987429</v>
      </c>
      <c r="F19" s="10" t="n">
        <f aca="false">C19-E19</f>
        <v>1865198</v>
      </c>
      <c r="G19" s="11" t="n">
        <f aca="false">IF(E19=0,"",(C19-E19)/E19)</f>
        <v>0.938497928731039</v>
      </c>
    </row>
    <row r="20" customFormat="false" ht="15" hidden="false" customHeight="true" outlineLevel="0" collapsed="false">
      <c r="A20" s="9" t="s">
        <v>58</v>
      </c>
      <c r="B20" s="10" t="n">
        <v>20055853</v>
      </c>
      <c r="C20" s="10" t="n">
        <v>9904792</v>
      </c>
      <c r="D20" s="11" t="n">
        <f aca="false">C20/B20</f>
        <v>0.493860420696143</v>
      </c>
      <c r="E20" s="10" t="n">
        <v>9500999</v>
      </c>
      <c r="F20" s="10" t="n">
        <f aca="false">C20-E20</f>
        <v>403793</v>
      </c>
      <c r="G20" s="11" t="n">
        <f aca="false">IF(E20=0,"",(C20-E20)/E20)</f>
        <v>0.0425000570992587</v>
      </c>
    </row>
    <row r="21" customFormat="false" ht="15" hidden="false" customHeight="true" outlineLevel="0" collapsed="false">
      <c r="A21" s="9" t="s">
        <v>59</v>
      </c>
      <c r="B21" s="10" t="n">
        <v>5900000</v>
      </c>
      <c r="C21" s="10" t="n">
        <v>3666656</v>
      </c>
      <c r="D21" s="11" t="n">
        <f aca="false">C21/B21</f>
        <v>0.621467118644068</v>
      </c>
      <c r="E21" s="10" t="n">
        <v>2932701</v>
      </c>
      <c r="F21" s="10" t="n">
        <f aca="false">C21-E21</f>
        <v>733955</v>
      </c>
      <c r="G21" s="11" t="n">
        <f aca="false">IF(E21=0,"",(C21-E21)/E21)</f>
        <v>0.250265881179159</v>
      </c>
    </row>
    <row r="22" customFormat="false" ht="15" hidden="false" customHeight="true" outlineLevel="0" collapsed="false">
      <c r="A22" s="9" t="s">
        <v>60</v>
      </c>
      <c r="B22" s="10" t="n">
        <v>132600</v>
      </c>
      <c r="C22" s="10" t="n">
        <v>77236</v>
      </c>
      <c r="D22" s="11" t="n">
        <f aca="false">C22/B22</f>
        <v>0.582473604826546</v>
      </c>
      <c r="E22" s="10" t="n">
        <v>73119</v>
      </c>
      <c r="F22" s="10" t="n">
        <f aca="false">C22-E22</f>
        <v>4117</v>
      </c>
      <c r="G22" s="11" t="n">
        <f aca="false">IF(E22=0,"",(C22-E22)/E22)</f>
        <v>0.0563054746372352</v>
      </c>
    </row>
    <row r="23" customFormat="false" ht="15" hidden="false" customHeight="true" outlineLevel="0" collapsed="false">
      <c r="A23" s="9" t="s">
        <v>61</v>
      </c>
      <c r="B23" s="10" t="n">
        <v>8900000</v>
      </c>
      <c r="C23" s="10" t="n">
        <v>4593148</v>
      </c>
      <c r="D23" s="11" t="n">
        <f aca="false">C23/B23</f>
        <v>0.51608404494382</v>
      </c>
      <c r="E23" s="10" t="n">
        <v>3768540</v>
      </c>
      <c r="F23" s="10" t="n">
        <f aca="false">C23-E23</f>
        <v>824608</v>
      </c>
      <c r="G23" s="11" t="n">
        <f aca="false">IF(E23=0,"",(C23-E23)/E23)</f>
        <v>0.21881365197132</v>
      </c>
    </row>
    <row r="24" customFormat="false" ht="15" hidden="false" customHeight="true" outlineLevel="0" collapsed="false">
      <c r="A24" s="9" t="s">
        <v>62</v>
      </c>
      <c r="B24" s="10" t="n">
        <v>14000000</v>
      </c>
      <c r="C24" s="10" t="n">
        <v>6849335</v>
      </c>
      <c r="D24" s="11" t="n">
        <f aca="false">C24/B24</f>
        <v>0.489238214285714</v>
      </c>
      <c r="E24" s="10" t="n">
        <v>7735188</v>
      </c>
      <c r="F24" s="10" t="n">
        <f aca="false">C24-E24</f>
        <v>-885853</v>
      </c>
      <c r="G24" s="11" t="n">
        <f aca="false">IF(E24=0,"",(C24-E24)/E24)</f>
        <v>-0.11452249124391</v>
      </c>
    </row>
    <row r="25" customFormat="false" ht="15" hidden="false" customHeight="true" outlineLevel="0" collapsed="false">
      <c r="A25" s="9" t="s">
        <v>63</v>
      </c>
      <c r="B25" s="10" t="n">
        <v>1822528</v>
      </c>
      <c r="C25" s="10" t="n">
        <v>246401</v>
      </c>
      <c r="D25" s="11" t="n">
        <f aca="false">C25/B25</f>
        <v>0.13519737419672</v>
      </c>
      <c r="E25" s="10" t="n">
        <v>268424</v>
      </c>
      <c r="F25" s="10" t="n">
        <f aca="false">C25-E25</f>
        <v>-22023</v>
      </c>
      <c r="G25" s="11" t="n">
        <f aca="false">IF(E25=0,"",(C25-E25)/E25)</f>
        <v>-0.0820455696957053</v>
      </c>
    </row>
    <row r="26" customFormat="false" ht="15" hidden="false" customHeight="true" outlineLevel="0" collapsed="false">
      <c r="A26" s="9" t="s">
        <v>64</v>
      </c>
      <c r="B26" s="10" t="n">
        <v>8000000</v>
      </c>
      <c r="C26" s="10" t="n">
        <v>4619244</v>
      </c>
      <c r="D26" s="11" t="n">
        <f aca="false">C26/B26</f>
        <v>0.5774055</v>
      </c>
      <c r="E26" s="10" t="n">
        <v>4308571</v>
      </c>
      <c r="F26" s="10" t="n">
        <f aca="false">C26-E26</f>
        <v>310673</v>
      </c>
      <c r="G26" s="11" t="n">
        <f aca="false">IF(E26=0,"",(C26-E26)/E26)</f>
        <v>0.0721058095595965</v>
      </c>
    </row>
    <row r="27" customFormat="false" ht="15" hidden="false" customHeight="true" outlineLevel="0" collapsed="false">
      <c r="A27" s="9" t="s">
        <v>65</v>
      </c>
      <c r="B27" s="10" t="n">
        <v>7070256</v>
      </c>
      <c r="C27" s="10" t="n">
        <v>3045997</v>
      </c>
      <c r="D27" s="11" t="n">
        <f aca="false">C27/B27</f>
        <v>0.430818488043432</v>
      </c>
      <c r="E27" s="10" t="n">
        <v>3200593</v>
      </c>
      <c r="F27" s="10" t="n">
        <f aca="false">C27-E27</f>
        <v>-154596</v>
      </c>
      <c r="G27" s="11" t="n">
        <f aca="false">IF(E27=0,"",(C27-E27)/E27)</f>
        <v>-0.0483022989802202</v>
      </c>
    </row>
    <row r="28" customFormat="false" ht="15" hidden="false" customHeight="true" outlineLevel="0" collapsed="false">
      <c r="A28" s="9" t="s">
        <v>66</v>
      </c>
      <c r="B28" s="10" t="n">
        <v>23842130</v>
      </c>
      <c r="C28" s="10" t="n">
        <v>18763010</v>
      </c>
      <c r="D28" s="11" t="n">
        <f aca="false">C28/B28</f>
        <v>0.786968697847046</v>
      </c>
      <c r="E28" s="10" t="n">
        <v>2090961</v>
      </c>
      <c r="F28" s="10" t="n">
        <f aca="false">C28-E28</f>
        <v>16672049</v>
      </c>
      <c r="G28" s="11" t="n">
        <f aca="false">IF(E28=0,"",(C28-E28)/E28)</f>
        <v>7.97339070408296</v>
      </c>
    </row>
    <row r="29" customFormat="false" ht="15" hidden="false" customHeight="true" outlineLevel="0" collapsed="false">
      <c r="A29" s="12" t="s">
        <v>67</v>
      </c>
      <c r="B29" s="13" t="n">
        <f aca="false">SUM(B5:B28)</f>
        <v>311935259</v>
      </c>
      <c r="C29" s="13" t="n">
        <f aca="false">SUM(C5:C28)</f>
        <v>155511485</v>
      </c>
      <c r="D29" s="14" t="n">
        <f aca="false">C29/B29</f>
        <v>0.498537694964454</v>
      </c>
      <c r="E29" s="13" t="n">
        <f aca="false">SUM(E5:E28)</f>
        <v>127555101</v>
      </c>
      <c r="F29" s="13" t="n">
        <f aca="false">C29-E29</f>
        <v>27956384</v>
      </c>
      <c r="G29" s="14" t="n">
        <f aca="false">(C29-E29)/E29</f>
        <v>0.219171038875192</v>
      </c>
    </row>
    <row r="31" customFormat="false" ht="15" hidden="false" customHeight="true" outlineLevel="0" collapsed="false">
      <c r="A31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52"/>
  </cols>
  <sheetData>
    <row r="1" customFormat="false" ht="15.75" hidden="false" customHeight="true" outlineLevel="0" collapsed="false">
      <c r="A1" s="7" t="s">
        <v>69</v>
      </c>
    </row>
    <row r="2" customFormat="false" ht="15" hidden="false" customHeight="true" outlineLevel="0" collapsed="false">
      <c r="A2" s="3" t="s">
        <v>70</v>
      </c>
    </row>
    <row r="4" customFormat="false" ht="26.25" hidden="false" customHeight="true" outlineLevel="0" collapsed="false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</row>
    <row r="5" customFormat="false" ht="26.25" hidden="false" customHeight="true" outlineLevel="0" collapsed="false">
      <c r="A5" s="15" t="s">
        <v>76</v>
      </c>
      <c r="B5" s="10" t="n">
        <v>191200000</v>
      </c>
      <c r="C5" s="10"/>
      <c r="D5" s="10"/>
      <c r="E5" s="16" t="s">
        <v>77</v>
      </c>
    </row>
    <row r="6" customFormat="false" ht="15" hidden="false" customHeight="true" outlineLevel="0" collapsed="false">
      <c r="A6" s="15" t="s">
        <v>78</v>
      </c>
      <c r="B6" s="10" t="n">
        <v>194900000</v>
      </c>
      <c r="C6" s="10"/>
      <c r="D6" s="10"/>
      <c r="E6" s="16" t="s">
        <v>79</v>
      </c>
    </row>
    <row r="7" customFormat="false" ht="26.25" hidden="false" customHeight="true" outlineLevel="0" collapsed="false">
      <c r="A7" s="15" t="s">
        <v>80</v>
      </c>
      <c r="B7" s="10"/>
      <c r="C7" s="10"/>
      <c r="D7" s="10"/>
      <c r="E7" s="16" t="s">
        <v>81</v>
      </c>
    </row>
    <row r="8" customFormat="false" ht="15" hidden="false" customHeight="true" outlineLevel="0" collapsed="false">
      <c r="A8" s="15" t="s">
        <v>82</v>
      </c>
      <c r="B8" s="10"/>
      <c r="C8" s="10"/>
      <c r="D8" s="10"/>
      <c r="E8" s="16" t="s">
        <v>83</v>
      </c>
    </row>
    <row r="9" customFormat="false" ht="15" hidden="false" customHeight="true" outlineLevel="0" collapsed="false">
      <c r="A9" s="15" t="s">
        <v>84</v>
      </c>
      <c r="B9" s="10"/>
      <c r="C9" s="10"/>
      <c r="D9" s="10"/>
      <c r="E9" s="16" t="s">
        <v>85</v>
      </c>
    </row>
    <row r="10" customFormat="false" ht="26.25" hidden="false" customHeight="true" outlineLevel="0" collapsed="false">
      <c r="A10" s="15" t="s">
        <v>86</v>
      </c>
      <c r="B10" s="10"/>
      <c r="C10" s="10"/>
      <c r="D10" s="10"/>
      <c r="E10" s="16" t="s">
        <v>87</v>
      </c>
    </row>
    <row r="11" customFormat="false" ht="26.25" hidden="false" customHeight="true" outlineLevel="0" collapsed="false">
      <c r="A11" s="15" t="s">
        <v>88</v>
      </c>
      <c r="B11" s="10" t="n">
        <v>311000000</v>
      </c>
      <c r="C11" s="10" t="n">
        <v>311935259</v>
      </c>
      <c r="D11" s="10" t="n">
        <f aca="false">C11-B11</f>
        <v>935259</v>
      </c>
      <c r="E11" s="16" t="s">
        <v>89</v>
      </c>
    </row>
    <row r="13" customFormat="false" ht="15" hidden="false" customHeight="true" outlineLevel="0" collapsed="false">
      <c r="A13" s="17" t="s">
        <v>90</v>
      </c>
    </row>
    <row r="14" customFormat="false" ht="15" hidden="false" customHeight="true" outlineLevel="0" collapsed="false">
      <c r="A14" s="18" t="s">
        <v>91</v>
      </c>
      <c r="B14" s="18"/>
      <c r="C14" s="18"/>
      <c r="D14" s="18"/>
      <c r="E14" s="18"/>
    </row>
    <row r="15" customFormat="false" ht="15" hidden="false" customHeight="true" outlineLevel="0" collapsed="false">
      <c r="A15" s="18" t="s">
        <v>92</v>
      </c>
      <c r="B15" s="18"/>
      <c r="C15" s="18"/>
      <c r="D15" s="18"/>
      <c r="E15" s="18"/>
    </row>
    <row r="16" customFormat="false" ht="15" hidden="false" customHeight="true" outlineLevel="0" collapsed="false">
      <c r="A16" s="18" t="s">
        <v>93</v>
      </c>
      <c r="B16" s="18"/>
      <c r="C16" s="18"/>
      <c r="D16" s="18"/>
      <c r="E16" s="18"/>
    </row>
    <row r="17" customFormat="false" ht="15" hidden="false" customHeight="true" outlineLevel="0" collapsed="false">
      <c r="A17" s="18" t="s">
        <v>94</v>
      </c>
      <c r="B17" s="18"/>
      <c r="C17" s="18"/>
      <c r="D17" s="18"/>
      <c r="E17" s="18"/>
    </row>
    <row r="18" customFormat="false" ht="15" hidden="false" customHeight="true" outlineLevel="0" collapsed="false">
      <c r="A18" s="18" t="s">
        <v>95</v>
      </c>
      <c r="B18" s="18"/>
      <c r="C18" s="18"/>
      <c r="D18" s="18"/>
      <c r="E18" s="18"/>
    </row>
    <row r="19" customFormat="false" ht="42" hidden="false" customHeight="true" outlineLevel="0" collapsed="false">
      <c r="A19" s="19" t="s">
        <v>96</v>
      </c>
      <c r="B19" s="19"/>
      <c r="C19" s="19"/>
      <c r="D19" s="19"/>
      <c r="E19" s="19"/>
    </row>
  </sheetData>
  <mergeCells count="6">
    <mergeCell ref="A14:E14"/>
    <mergeCell ref="A15:E15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42"/>
  </cols>
  <sheetData>
    <row r="1" customFormat="false" ht="15.75" hidden="false" customHeight="true" outlineLevel="0" collapsed="false">
      <c r="A1" s="7" t="s">
        <v>97</v>
      </c>
    </row>
    <row r="2" customFormat="false" ht="15" hidden="false" customHeight="true" outlineLevel="0" collapsed="false">
      <c r="A2" s="3" t="s">
        <v>98</v>
      </c>
    </row>
    <row r="4" customFormat="false" ht="15" hidden="false" customHeight="true" outlineLevel="0" collapsed="false">
      <c r="A4" s="17" t="s">
        <v>99</v>
      </c>
    </row>
    <row r="5" customFormat="false" ht="15" hidden="false" customHeight="true" outlineLevel="0" collapsed="false">
      <c r="A5" s="8" t="s">
        <v>100</v>
      </c>
      <c r="B5" s="8" t="s">
        <v>101</v>
      </c>
      <c r="C5" s="8" t="s">
        <v>102</v>
      </c>
      <c r="D5" s="8" t="s">
        <v>75</v>
      </c>
    </row>
    <row r="6" customFormat="false" ht="15" hidden="false" customHeight="true" outlineLevel="0" collapsed="false">
      <c r="A6" s="9" t="s">
        <v>103</v>
      </c>
      <c r="B6" s="10" t="n">
        <v>105000000</v>
      </c>
      <c r="C6" s="11" t="n">
        <f aca="false">B6/311935259</f>
        <v>0.336608308841419</v>
      </c>
      <c r="D6" s="16" t="s">
        <v>104</v>
      </c>
    </row>
    <row r="7" customFormat="false" ht="15" hidden="false" customHeight="true" outlineLevel="0" collapsed="false">
      <c r="A7" s="9" t="s">
        <v>105</v>
      </c>
      <c r="B7" s="10" t="n">
        <v>106000000</v>
      </c>
      <c r="C7" s="11" t="n">
        <f aca="false">B7/311935259</f>
        <v>0.339814102258956</v>
      </c>
      <c r="D7" s="16" t="s">
        <v>106</v>
      </c>
    </row>
    <row r="8" customFormat="false" ht="15" hidden="false" customHeight="true" outlineLevel="0" collapsed="false">
      <c r="A8" s="9" t="s">
        <v>107</v>
      </c>
      <c r="B8" s="10" t="n">
        <v>100935259</v>
      </c>
      <c r="C8" s="11" t="n">
        <f aca="false">B8/311935259</f>
        <v>0.323577588899625</v>
      </c>
      <c r="D8" s="16" t="s">
        <v>108</v>
      </c>
    </row>
    <row r="9" customFormat="false" ht="15" hidden="false" customHeight="true" outlineLevel="0" collapsed="false">
      <c r="A9" s="12" t="s">
        <v>109</v>
      </c>
      <c r="B9" s="13" t="n">
        <f aca="false">SUM(B6:B8)</f>
        <v>311935259</v>
      </c>
      <c r="C9" s="14" t="n">
        <f aca="false">B9/311935259</f>
        <v>1</v>
      </c>
      <c r="D9" s="20" t="s">
        <v>110</v>
      </c>
    </row>
    <row r="10" customFormat="false" ht="15" hidden="false" customHeight="true" outlineLevel="0" collapsed="false">
      <c r="A10" s="21" t="s">
        <v>111</v>
      </c>
      <c r="B10" s="22" t="n">
        <f aca="false">B6+B7</f>
        <v>211000000</v>
      </c>
      <c r="C10" s="23" t="n">
        <f aca="false">B10/311935259</f>
        <v>0.676422411100375</v>
      </c>
      <c r="D10" s="24" t="s">
        <v>112</v>
      </c>
    </row>
    <row r="12" customFormat="false" ht="15" hidden="false" customHeight="true" outlineLevel="0" collapsed="false">
      <c r="A12" s="17" t="s">
        <v>113</v>
      </c>
    </row>
    <row r="13" customFormat="false" ht="26.25" hidden="false" customHeight="true" outlineLevel="0" collapsed="false">
      <c r="A13" s="8" t="s">
        <v>114</v>
      </c>
      <c r="B13" s="8" t="s">
        <v>115</v>
      </c>
      <c r="C13" s="8" t="s">
        <v>75</v>
      </c>
    </row>
    <row r="14" customFormat="false" ht="39" hidden="false" customHeight="true" outlineLevel="0" collapsed="false">
      <c r="A14" s="15" t="s">
        <v>116</v>
      </c>
      <c r="B14" s="10" t="n">
        <v>567400000</v>
      </c>
      <c r="C14" s="16" t="s">
        <v>117</v>
      </c>
    </row>
    <row r="15" customFormat="false" ht="102.75" hidden="false" customHeight="true" outlineLevel="0" collapsed="false">
      <c r="A15" s="15" t="s">
        <v>78</v>
      </c>
      <c r="B15" s="10" t="n">
        <v>773100000</v>
      </c>
      <c r="C15" s="16" t="s">
        <v>118</v>
      </c>
    </row>
    <row r="16" customFormat="false" ht="102.75" hidden="false" customHeight="true" outlineLevel="0" collapsed="false">
      <c r="A16" s="15" t="s">
        <v>119</v>
      </c>
      <c r="B16" s="10" t="n">
        <v>600000000</v>
      </c>
      <c r="C16" s="16" t="s">
        <v>120</v>
      </c>
    </row>
    <row r="18" customFormat="false" ht="43.5" hidden="false" customHeight="true" outlineLevel="0" collapsed="false">
      <c r="A18" s="19" t="s">
        <v>121</v>
      </c>
      <c r="B18" s="19"/>
      <c r="C18" s="19"/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7" t="s">
        <v>122</v>
      </c>
    </row>
    <row r="2" customFormat="false" ht="15" hidden="false" customHeight="true" outlineLevel="0" collapsed="false">
      <c r="A2" s="3" t="s">
        <v>123</v>
      </c>
    </row>
    <row r="4" customFormat="false" ht="15" hidden="false" customHeight="true" outlineLevel="0" collapsed="false">
      <c r="A4" s="8" t="s">
        <v>124</v>
      </c>
      <c r="B4" s="8" t="s">
        <v>125</v>
      </c>
      <c r="C4" s="8" t="s">
        <v>126</v>
      </c>
    </row>
    <row r="5" customFormat="false" ht="15" hidden="false" customHeight="true" outlineLevel="0" collapsed="false">
      <c r="A5" s="9" t="s">
        <v>127</v>
      </c>
      <c r="B5" s="10" t="n">
        <v>-32256300</v>
      </c>
      <c r="C5" s="10" t="n">
        <v>-33206801</v>
      </c>
    </row>
    <row r="6" customFormat="false" ht="15" hidden="false" customHeight="true" outlineLevel="0" collapsed="false">
      <c r="A6" s="9" t="s">
        <v>128</v>
      </c>
      <c r="B6" s="10" t="n">
        <v>5111718</v>
      </c>
      <c r="C6" s="10" t="n">
        <v>8291028</v>
      </c>
    </row>
    <row r="7" customFormat="false" ht="15" hidden="false" customHeight="true" outlineLevel="0" collapsed="false">
      <c r="A7" s="21" t="s">
        <v>129</v>
      </c>
      <c r="B7" s="22" t="n">
        <f aca="false">B5+B6</f>
        <v>-27144582</v>
      </c>
      <c r="C7" s="22" t="n">
        <f aca="false">C5+C6</f>
        <v>-24915773</v>
      </c>
    </row>
    <row r="8" customFormat="false" ht="15" hidden="false" customHeight="true" outlineLevel="0" collapsed="false">
      <c r="A8" s="9" t="s">
        <v>130</v>
      </c>
      <c r="B8" s="10" t="n">
        <v>-1630454</v>
      </c>
      <c r="C8" s="10" t="n">
        <v>-1623581</v>
      </c>
    </row>
    <row r="9" customFormat="false" ht="15" hidden="false" customHeight="true" outlineLevel="0" collapsed="false">
      <c r="A9" s="9" t="s">
        <v>131</v>
      </c>
      <c r="B9" s="10" t="n">
        <v>-1050938</v>
      </c>
      <c r="C9" s="10" t="n">
        <v>-1050938</v>
      </c>
    </row>
    <row r="10" customFormat="false" ht="15" hidden="false" customHeight="true" outlineLevel="0" collapsed="false">
      <c r="A10" s="9" t="s">
        <v>132</v>
      </c>
      <c r="B10" s="10" t="n">
        <v>-1523365</v>
      </c>
      <c r="C10" s="10" t="n">
        <v>-1942666</v>
      </c>
    </row>
    <row r="11" customFormat="false" ht="15" hidden="false" customHeight="true" outlineLevel="0" collapsed="false">
      <c r="A11" s="21" t="s">
        <v>133</v>
      </c>
      <c r="B11" s="22" t="n">
        <f aca="false">B7+B8+B9+B10</f>
        <v>-31349339</v>
      </c>
      <c r="C11" s="22" t="n">
        <f aca="false">C7+C8+C9+C10</f>
        <v>-29532958</v>
      </c>
    </row>
    <row r="12" customFormat="false" ht="15" hidden="false" customHeight="true" outlineLevel="0" collapsed="false">
      <c r="A12" s="9" t="s">
        <v>134</v>
      </c>
      <c r="B12" s="10" t="n">
        <v>2100000</v>
      </c>
      <c r="C12" s="10" t="n">
        <v>0</v>
      </c>
    </row>
    <row r="13" customFormat="false" ht="15" hidden="false" customHeight="true" outlineLevel="0" collapsed="false">
      <c r="A13" s="25" t="s">
        <v>135</v>
      </c>
      <c r="B13" s="26" t="n">
        <f aca="false">B11+B12</f>
        <v>-29249339</v>
      </c>
      <c r="C13" s="26" t="n">
        <f aca="false">C11+C12</f>
        <v>-29532958</v>
      </c>
    </row>
    <row r="15" customFormat="false" ht="15" hidden="false" customHeight="true" outlineLevel="0" collapsed="false">
      <c r="A15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5"/>
  </cols>
  <sheetData>
    <row r="1" customFormat="false" ht="15.75" hidden="false" customHeight="true" outlineLevel="0" collapsed="false">
      <c r="A1" s="7" t="s">
        <v>137</v>
      </c>
    </row>
    <row r="2" customFormat="false" ht="15" hidden="false" customHeight="true" outlineLevel="0" collapsed="false">
      <c r="A2" s="3" t="s">
        <v>123</v>
      </c>
    </row>
    <row r="4" customFormat="false" ht="26.25" hidden="false" customHeight="true" outlineLevel="0" collapsed="false">
      <c r="A4" s="8" t="s">
        <v>138</v>
      </c>
      <c r="B4" s="8" t="s">
        <v>139</v>
      </c>
      <c r="C4" s="8" t="s">
        <v>140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</row>
    <row r="5" customFormat="false" ht="15" hidden="false" customHeight="true" outlineLevel="0" collapsed="false">
      <c r="A5" s="9" t="s">
        <v>146</v>
      </c>
      <c r="B5" s="10" t="n">
        <v>7696001</v>
      </c>
      <c r="C5" s="10" t="n">
        <v>0</v>
      </c>
      <c r="D5" s="10" t="n">
        <f aca="false">B5-C5</f>
        <v>7696001</v>
      </c>
      <c r="E5" s="11" t="n">
        <f aca="false">C5/B5</f>
        <v>0</v>
      </c>
      <c r="F5" s="10" t="n">
        <v>0</v>
      </c>
      <c r="G5" s="10" t="n">
        <f aca="false">C5-F5</f>
        <v>0</v>
      </c>
      <c r="H5" s="11" t="n">
        <f aca="false">G5/B5</f>
        <v>0</v>
      </c>
    </row>
    <row r="6" customFormat="false" ht="15" hidden="false" customHeight="true" outlineLevel="0" collapsed="false">
      <c r="A6" s="9" t="s">
        <v>147</v>
      </c>
      <c r="B6" s="10" t="n">
        <v>3929199</v>
      </c>
      <c r="C6" s="10" t="n">
        <v>288560</v>
      </c>
      <c r="D6" s="10" t="n">
        <f aca="false">B6-C6</f>
        <v>3640639</v>
      </c>
      <c r="E6" s="11" t="n">
        <f aca="false">C6/B6</f>
        <v>0.0734399046726827</v>
      </c>
      <c r="F6" s="10" t="n">
        <v>0</v>
      </c>
      <c r="G6" s="10" t="n">
        <f aca="false">C6-F6</f>
        <v>288560</v>
      </c>
      <c r="H6" s="11" t="n">
        <f aca="false">G6/B6</f>
        <v>0.0734399046726827</v>
      </c>
    </row>
    <row r="7" customFormat="false" ht="15" hidden="false" customHeight="true" outlineLevel="0" collapsed="false">
      <c r="A7" s="9" t="s">
        <v>148</v>
      </c>
      <c r="B7" s="10" t="n">
        <v>1289953</v>
      </c>
      <c r="C7" s="10" t="n">
        <v>71708</v>
      </c>
      <c r="D7" s="10" t="n">
        <f aca="false">B7-C7</f>
        <v>1218245</v>
      </c>
      <c r="E7" s="11" t="n">
        <f aca="false">C7/B7</f>
        <v>0.0555896222575551</v>
      </c>
      <c r="F7" s="10" t="n">
        <v>0</v>
      </c>
      <c r="G7" s="10" t="n">
        <f aca="false">C7-F7</f>
        <v>71708</v>
      </c>
      <c r="H7" s="11" t="n">
        <f aca="false">G7/B7</f>
        <v>0.0555896222575551</v>
      </c>
    </row>
    <row r="8" customFormat="false" ht="15" hidden="false" customHeight="true" outlineLevel="0" collapsed="false">
      <c r="A8" s="9" t="s">
        <v>149</v>
      </c>
      <c r="B8" s="10" t="n">
        <v>6899331</v>
      </c>
      <c r="C8" s="10" t="n">
        <v>863145</v>
      </c>
      <c r="D8" s="10" t="n">
        <f aca="false">B8-C8</f>
        <v>6036186</v>
      </c>
      <c r="E8" s="11" t="n">
        <f aca="false">C8/B8</f>
        <v>0.125105608065478</v>
      </c>
      <c r="F8" s="10" t="n">
        <v>0</v>
      </c>
      <c r="G8" s="10" t="n">
        <f aca="false">C8-F8</f>
        <v>863145</v>
      </c>
      <c r="H8" s="11" t="n">
        <f aca="false">G8/B8</f>
        <v>0.125105608065478</v>
      </c>
    </row>
    <row r="9" customFormat="false" ht="15" hidden="false" customHeight="true" outlineLevel="0" collapsed="false">
      <c r="A9" s="9" t="s">
        <v>150</v>
      </c>
      <c r="B9" s="10" t="n">
        <v>3952847</v>
      </c>
      <c r="C9" s="10" t="n">
        <v>210456</v>
      </c>
      <c r="D9" s="10" t="n">
        <f aca="false">B9-C9</f>
        <v>3742391</v>
      </c>
      <c r="E9" s="11" t="n">
        <f aca="false">C9/B9</f>
        <v>0.0532416255928955</v>
      </c>
      <c r="F9" s="10" t="n">
        <v>0</v>
      </c>
      <c r="G9" s="10" t="n">
        <f aca="false">C9-F9</f>
        <v>210456</v>
      </c>
      <c r="H9" s="11" t="n">
        <f aca="false">G9/B9</f>
        <v>0.0532416255928955</v>
      </c>
    </row>
    <row r="10" customFormat="false" ht="15" hidden="false" customHeight="true" outlineLevel="0" collapsed="false">
      <c r="A10" s="9" t="s">
        <v>151</v>
      </c>
      <c r="B10" s="10" t="n">
        <v>18713660</v>
      </c>
      <c r="C10" s="10" t="n">
        <v>2489487</v>
      </c>
      <c r="D10" s="10" t="n">
        <f aca="false">B10-C10</f>
        <v>16224173</v>
      </c>
      <c r="E10" s="11" t="n">
        <f aca="false">C10/B10</f>
        <v>0.133030470789787</v>
      </c>
      <c r="F10" s="10" t="n">
        <v>0</v>
      </c>
      <c r="G10" s="10" t="n">
        <f aca="false">C10-F10</f>
        <v>2489487</v>
      </c>
      <c r="H10" s="11" t="n">
        <f aca="false">G10/B10</f>
        <v>0.133030470789787</v>
      </c>
    </row>
    <row r="11" customFormat="false" ht="15" hidden="false" customHeight="true" outlineLevel="0" collapsed="false">
      <c r="A11" s="9" t="s">
        <v>152</v>
      </c>
      <c r="B11" s="10" t="n">
        <v>9887235</v>
      </c>
      <c r="C11" s="10" t="n">
        <v>684356</v>
      </c>
      <c r="D11" s="10" t="n">
        <f aca="false">B11-C11</f>
        <v>9202879</v>
      </c>
      <c r="E11" s="11" t="n">
        <f aca="false">C11/B11</f>
        <v>0.0692161155267373</v>
      </c>
      <c r="F11" s="10" t="n">
        <v>0</v>
      </c>
      <c r="G11" s="10" t="n">
        <f aca="false">C11-F11</f>
        <v>684356</v>
      </c>
      <c r="H11" s="11" t="n">
        <f aca="false">G11/B11</f>
        <v>0.0692161155267373</v>
      </c>
    </row>
    <row r="12" customFormat="false" ht="15" hidden="false" customHeight="true" outlineLevel="0" collapsed="false">
      <c r="A12" s="9" t="s">
        <v>153</v>
      </c>
      <c r="B12" s="10" t="n">
        <v>55650689</v>
      </c>
      <c r="C12" s="10" t="n">
        <v>6653092</v>
      </c>
      <c r="D12" s="10" t="n">
        <f aca="false">B12-C12</f>
        <v>48997597</v>
      </c>
      <c r="E12" s="11" t="n">
        <f aca="false">C12/B12</f>
        <v>0.11955093673683</v>
      </c>
      <c r="F12" s="10" t="n">
        <v>3631106</v>
      </c>
      <c r="G12" s="10" t="n">
        <f aca="false">C12-F12</f>
        <v>3021986</v>
      </c>
      <c r="H12" s="11" t="n">
        <f aca="false">G12/B12</f>
        <v>0.0543027598454352</v>
      </c>
    </row>
    <row r="13" customFormat="false" ht="15" hidden="false" customHeight="true" outlineLevel="0" collapsed="false">
      <c r="A13" s="9" t="s">
        <v>154</v>
      </c>
      <c r="B13" s="10" t="n">
        <v>37548665</v>
      </c>
      <c r="C13" s="10" t="n">
        <v>3561672</v>
      </c>
      <c r="D13" s="10" t="n">
        <f aca="false">B13-C13</f>
        <v>33986993</v>
      </c>
      <c r="E13" s="11" t="n">
        <f aca="false">C13/B13</f>
        <v>0.0948548237334137</v>
      </c>
      <c r="F13" s="10" t="n">
        <v>0</v>
      </c>
      <c r="G13" s="10" t="n">
        <f aca="false">C13-F13</f>
        <v>3561672</v>
      </c>
      <c r="H13" s="11" t="n">
        <f aca="false">G13/B13</f>
        <v>0.0948548237334137</v>
      </c>
    </row>
    <row r="14" customFormat="false" ht="15" hidden="false" customHeight="true" outlineLevel="0" collapsed="false">
      <c r="A14" s="9" t="s">
        <v>155</v>
      </c>
      <c r="B14" s="10" t="n">
        <v>5212918</v>
      </c>
      <c r="C14" s="10" t="n">
        <v>625774</v>
      </c>
      <c r="D14" s="10" t="n">
        <f aca="false">B14-C14</f>
        <v>4587144</v>
      </c>
      <c r="E14" s="11" t="n">
        <f aca="false">C14/B14</f>
        <v>0.120042939482263</v>
      </c>
      <c r="F14" s="10" t="n">
        <v>0</v>
      </c>
      <c r="G14" s="10" t="n">
        <f aca="false">C14-F14</f>
        <v>625774</v>
      </c>
      <c r="H14" s="11" t="n">
        <f aca="false">G14/B14</f>
        <v>0.120042939482263</v>
      </c>
    </row>
    <row r="15" customFormat="false" ht="15" hidden="false" customHeight="true" outlineLevel="0" collapsed="false">
      <c r="A15" s="9" t="s">
        <v>156</v>
      </c>
      <c r="B15" s="10" t="n">
        <v>1150454</v>
      </c>
      <c r="C15" s="10" t="n">
        <v>185391</v>
      </c>
      <c r="D15" s="10" t="n">
        <f aca="false">B15-C15</f>
        <v>965063</v>
      </c>
      <c r="E15" s="11" t="n">
        <f aca="false">C15/B15</f>
        <v>0.161145947599817</v>
      </c>
      <c r="F15" s="10" t="n">
        <v>0</v>
      </c>
      <c r="G15" s="10" t="n">
        <f aca="false">C15-F15</f>
        <v>185391</v>
      </c>
      <c r="H15" s="11" t="n">
        <f aca="false">G15/B15</f>
        <v>0.161145947599817</v>
      </c>
    </row>
    <row r="16" customFormat="false" ht="15" hidden="false" customHeight="true" outlineLevel="0" collapsed="false">
      <c r="A16" s="9" t="s">
        <v>157</v>
      </c>
      <c r="B16" s="10" t="n">
        <v>13233201</v>
      </c>
      <c r="C16" s="10" t="n">
        <v>1190950</v>
      </c>
      <c r="D16" s="10" t="n">
        <f aca="false">B16-C16</f>
        <v>12042251</v>
      </c>
      <c r="E16" s="11" t="n">
        <f aca="false">C16/B16</f>
        <v>0.0899971216336849</v>
      </c>
      <c r="F16" s="10" t="n">
        <v>466004</v>
      </c>
      <c r="G16" s="10" t="n">
        <f aca="false">C16-F16</f>
        <v>724946</v>
      </c>
      <c r="H16" s="11" t="n">
        <f aca="false">G16/B16</f>
        <v>0.0547823614256294</v>
      </c>
    </row>
    <row r="17" customFormat="false" ht="15" hidden="false" customHeight="true" outlineLevel="0" collapsed="false">
      <c r="A17" s="9" t="s">
        <v>158</v>
      </c>
      <c r="B17" s="10" t="n">
        <v>3666161</v>
      </c>
      <c r="C17" s="10" t="n">
        <v>458269</v>
      </c>
      <c r="D17" s="10" t="n">
        <f aca="false">B17-C17</f>
        <v>3207892</v>
      </c>
      <c r="E17" s="11" t="n">
        <f aca="false">C17/B17</f>
        <v>0.124999693139499</v>
      </c>
      <c r="F17" s="10" t="n">
        <v>0</v>
      </c>
      <c r="G17" s="10" t="n">
        <f aca="false">C17-F17</f>
        <v>458269</v>
      </c>
      <c r="H17" s="11" t="n">
        <f aca="false">G17/B17</f>
        <v>0.124999693139499</v>
      </c>
    </row>
    <row r="18" customFormat="false" ht="15" hidden="false" customHeight="true" outlineLevel="0" collapsed="false">
      <c r="A18" s="9" t="s">
        <v>159</v>
      </c>
      <c r="B18" s="10" t="n">
        <v>106198574</v>
      </c>
      <c r="C18" s="10" t="n">
        <v>10588717</v>
      </c>
      <c r="D18" s="10" t="n">
        <f aca="false">B18-C18</f>
        <v>95609857</v>
      </c>
      <c r="E18" s="11" t="n">
        <f aca="false">C18/B18</f>
        <v>0.0997067719572204</v>
      </c>
      <c r="F18" s="10" t="n">
        <v>5345885</v>
      </c>
      <c r="G18" s="10" t="n">
        <f aca="false">C18-F18</f>
        <v>5242832</v>
      </c>
      <c r="H18" s="11" t="n">
        <f aca="false">G18/B18</f>
        <v>0.0493681958479028</v>
      </c>
    </row>
    <row r="19" customFormat="false" ht="15" hidden="false" customHeight="true" outlineLevel="0" collapsed="false">
      <c r="A19" s="9" t="s">
        <v>160</v>
      </c>
      <c r="B19" s="10" t="n">
        <v>8135147</v>
      </c>
      <c r="C19" s="10" t="n">
        <v>779771</v>
      </c>
      <c r="D19" s="10" t="n">
        <f aca="false">B19-C19</f>
        <v>7355376</v>
      </c>
      <c r="E19" s="11" t="n">
        <f aca="false">C19/B19</f>
        <v>0.0958521093718405</v>
      </c>
      <c r="F19" s="10" t="n">
        <v>0</v>
      </c>
      <c r="G19" s="10" t="n">
        <f aca="false">C19-F19</f>
        <v>779771</v>
      </c>
      <c r="H19" s="11" t="n">
        <f aca="false">G19/B19</f>
        <v>0.0958521093718405</v>
      </c>
    </row>
    <row r="20" customFormat="false" ht="15" hidden="false" customHeight="true" outlineLevel="0" collapsed="false">
      <c r="A20" s="9" t="s">
        <v>161</v>
      </c>
      <c r="B20" s="10" t="n">
        <v>600000</v>
      </c>
      <c r="C20" s="10" t="n">
        <v>600000</v>
      </c>
      <c r="D20" s="10" t="n">
        <f aca="false">B20-C20</f>
        <v>0</v>
      </c>
      <c r="E20" s="11" t="n">
        <f aca="false">C20/B20</f>
        <v>1</v>
      </c>
      <c r="F20" s="10" t="n">
        <v>0</v>
      </c>
      <c r="G20" s="10" t="n">
        <f aca="false">C20-F20</f>
        <v>600000</v>
      </c>
      <c r="H20" s="11" t="n">
        <f aca="false">G20/B20</f>
        <v>1</v>
      </c>
    </row>
    <row r="21" customFormat="false" ht="15" hidden="false" customHeight="true" outlineLevel="0" collapsed="false">
      <c r="A21" s="12" t="s">
        <v>162</v>
      </c>
      <c r="B21" s="13" t="n">
        <f aca="false">SUM(B5:B20)</f>
        <v>283764035</v>
      </c>
      <c r="C21" s="13" t="n">
        <f aca="false">SUM(C5:C20)</f>
        <v>29251348</v>
      </c>
      <c r="D21" s="13" t="n">
        <f aca="false">SUM(D5:D20)</f>
        <v>254512687</v>
      </c>
      <c r="E21" s="14" t="n">
        <f aca="false">C21/B21</f>
        <v>0.10308335233533</v>
      </c>
      <c r="F21" s="13" t="n">
        <f aca="false">SUM(F5:F20)</f>
        <v>9442995</v>
      </c>
      <c r="G21" s="13" t="n">
        <f aca="false">SUM(G5:G20)</f>
        <v>19808353</v>
      </c>
      <c r="H21" s="14" t="n">
        <f aca="false">G21/B21</f>
        <v>0.069805720798973</v>
      </c>
    </row>
    <row r="23" customFormat="false" ht="30" hidden="false" customHeight="true" outlineLevel="0" collapsed="false">
      <c r="A23" s="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5"/>
  </cols>
  <sheetData>
    <row r="1" customFormat="false" ht="15.75" hidden="false" customHeight="true" outlineLevel="0" collapsed="false">
      <c r="A1" s="7" t="s">
        <v>164</v>
      </c>
    </row>
    <row r="2" customFormat="false" ht="15" hidden="false" customHeight="true" outlineLevel="0" collapsed="false">
      <c r="A2" s="3" t="s">
        <v>123</v>
      </c>
    </row>
    <row r="4" customFormat="false" ht="26.25" hidden="false" customHeight="true" outlineLevel="0" collapsed="false">
      <c r="A4" s="8" t="s">
        <v>138</v>
      </c>
      <c r="B4" s="8" t="s">
        <v>139</v>
      </c>
      <c r="C4" s="8" t="s">
        <v>140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</row>
    <row r="5" customFormat="false" ht="15" hidden="false" customHeight="true" outlineLevel="0" collapsed="false">
      <c r="A5" s="9" t="s">
        <v>146</v>
      </c>
      <c r="B5" s="10" t="n">
        <v>7696001</v>
      </c>
      <c r="C5" s="10" t="n">
        <v>0</v>
      </c>
      <c r="D5" s="10" t="n">
        <f aca="false">B5-C5</f>
        <v>7696001</v>
      </c>
      <c r="E5" s="11" t="n">
        <f aca="false">C5/B5</f>
        <v>0</v>
      </c>
      <c r="F5" s="10" t="n">
        <v>0</v>
      </c>
      <c r="G5" s="10" t="n">
        <f aca="false">C5-F5</f>
        <v>0</v>
      </c>
      <c r="H5" s="11" t="n">
        <f aca="false">G5/B5</f>
        <v>0</v>
      </c>
    </row>
    <row r="6" customFormat="false" ht="15" hidden="false" customHeight="true" outlineLevel="0" collapsed="false">
      <c r="A6" s="9" t="s">
        <v>147</v>
      </c>
      <c r="B6" s="10" t="n">
        <v>3929199</v>
      </c>
      <c r="C6" s="10" t="n">
        <v>288560</v>
      </c>
      <c r="D6" s="10" t="n">
        <f aca="false">B6-C6</f>
        <v>3640639</v>
      </c>
      <c r="E6" s="11" t="n">
        <f aca="false">C6/B6</f>
        <v>0.0734399046726827</v>
      </c>
      <c r="F6" s="10" t="n">
        <v>0</v>
      </c>
      <c r="G6" s="10" t="n">
        <f aca="false">C6-F6</f>
        <v>288560</v>
      </c>
      <c r="H6" s="11" t="n">
        <f aca="false">G6/B6</f>
        <v>0.0734399046726827</v>
      </c>
    </row>
    <row r="7" customFormat="false" ht="15" hidden="false" customHeight="true" outlineLevel="0" collapsed="false">
      <c r="A7" s="9" t="s">
        <v>148</v>
      </c>
      <c r="B7" s="10" t="n">
        <v>1289953</v>
      </c>
      <c r="C7" s="10" t="n">
        <v>71708</v>
      </c>
      <c r="D7" s="10" t="n">
        <f aca="false">B7-C7</f>
        <v>1218245</v>
      </c>
      <c r="E7" s="11" t="n">
        <f aca="false">C7/B7</f>
        <v>0.0555896222575551</v>
      </c>
      <c r="F7" s="10" t="n">
        <v>0</v>
      </c>
      <c r="G7" s="10" t="n">
        <f aca="false">C7-F7</f>
        <v>71708</v>
      </c>
      <c r="H7" s="11" t="n">
        <f aca="false">G7/B7</f>
        <v>0.0555896222575551</v>
      </c>
    </row>
    <row r="8" customFormat="false" ht="15" hidden="false" customHeight="true" outlineLevel="0" collapsed="false">
      <c r="A8" s="9" t="s">
        <v>149</v>
      </c>
      <c r="B8" s="10" t="n">
        <v>6899331</v>
      </c>
      <c r="C8" s="10" t="n">
        <v>863145</v>
      </c>
      <c r="D8" s="10" t="n">
        <f aca="false">B8-C8</f>
        <v>6036186</v>
      </c>
      <c r="E8" s="11" t="n">
        <f aca="false">C8/B8</f>
        <v>0.125105608065478</v>
      </c>
      <c r="F8" s="10" t="n">
        <v>0</v>
      </c>
      <c r="G8" s="10" t="n">
        <f aca="false">C8-F8</f>
        <v>863145</v>
      </c>
      <c r="H8" s="11" t="n">
        <f aca="false">G8/B8</f>
        <v>0.125105608065478</v>
      </c>
    </row>
    <row r="9" customFormat="false" ht="15" hidden="false" customHeight="true" outlineLevel="0" collapsed="false">
      <c r="A9" s="9" t="s">
        <v>150</v>
      </c>
      <c r="B9" s="10" t="n">
        <v>3998036</v>
      </c>
      <c r="C9" s="10" t="n">
        <v>94456</v>
      </c>
      <c r="D9" s="10" t="n">
        <f aca="false">B9-C9</f>
        <v>3903580</v>
      </c>
      <c r="E9" s="11" t="n">
        <f aca="false">C9/B9</f>
        <v>0.0236256001696833</v>
      </c>
      <c r="F9" s="10" t="n">
        <v>0</v>
      </c>
      <c r="G9" s="10" t="n">
        <f aca="false">C9-F9</f>
        <v>94456</v>
      </c>
      <c r="H9" s="11" t="n">
        <f aca="false">G9/B9</f>
        <v>0.0236256001696833</v>
      </c>
    </row>
    <row r="10" customFormat="false" ht="15" hidden="false" customHeight="true" outlineLevel="0" collapsed="false">
      <c r="A10" s="9" t="s">
        <v>151</v>
      </c>
      <c r="B10" s="10" t="n">
        <v>19041413</v>
      </c>
      <c r="C10" s="10" t="n">
        <v>2432623</v>
      </c>
      <c r="D10" s="10" t="n">
        <f aca="false">B10-C10</f>
        <v>16608790</v>
      </c>
      <c r="E10" s="11" t="n">
        <f aca="false">C10/B10</f>
        <v>0.127754332097098</v>
      </c>
      <c r="F10" s="10" t="n">
        <v>0</v>
      </c>
      <c r="G10" s="10" t="n">
        <f aca="false">C10-F10</f>
        <v>2432623</v>
      </c>
      <c r="H10" s="11" t="n">
        <f aca="false">G10/B10</f>
        <v>0.127754332097098</v>
      </c>
    </row>
    <row r="11" customFormat="false" ht="15" hidden="false" customHeight="true" outlineLevel="0" collapsed="false">
      <c r="A11" s="9" t="s">
        <v>152</v>
      </c>
      <c r="B11" s="10" t="n">
        <v>10178435</v>
      </c>
      <c r="C11" s="10" t="n">
        <v>715714</v>
      </c>
      <c r="D11" s="10" t="n">
        <f aca="false">B11-C11</f>
        <v>9462721</v>
      </c>
      <c r="E11" s="11" t="n">
        <f aca="false">C11/B11</f>
        <v>0.0703167038940662</v>
      </c>
      <c r="F11" s="10" t="n">
        <v>0</v>
      </c>
      <c r="G11" s="10" t="n">
        <f aca="false">C11-F11</f>
        <v>715714</v>
      </c>
      <c r="H11" s="11" t="n">
        <f aca="false">G11/B11</f>
        <v>0.0703167038940662</v>
      </c>
    </row>
    <row r="12" customFormat="false" ht="15" hidden="false" customHeight="true" outlineLevel="0" collapsed="false">
      <c r="A12" s="9" t="s">
        <v>153</v>
      </c>
      <c r="B12" s="10" t="n">
        <v>57206818</v>
      </c>
      <c r="C12" s="10" t="n">
        <v>6800791</v>
      </c>
      <c r="D12" s="10" t="n">
        <f aca="false">B12-C12</f>
        <v>50406027</v>
      </c>
      <c r="E12" s="11" t="n">
        <f aca="false">C12/B12</f>
        <v>0.118880777462574</v>
      </c>
      <c r="F12" s="10" t="n">
        <v>3703328</v>
      </c>
      <c r="G12" s="10" t="n">
        <f aca="false">C12-F12</f>
        <v>3097463</v>
      </c>
      <c r="H12" s="11" t="n">
        <f aca="false">G12/B12</f>
        <v>0.0541449971924675</v>
      </c>
    </row>
    <row r="13" customFormat="false" ht="15" hidden="false" customHeight="true" outlineLevel="0" collapsed="false">
      <c r="A13" s="9" t="s">
        <v>154</v>
      </c>
      <c r="B13" s="10" t="n">
        <v>38021381</v>
      </c>
      <c r="C13" s="10" t="n">
        <v>3455468</v>
      </c>
      <c r="D13" s="10" t="n">
        <f aca="false">B13-C13</f>
        <v>34565913</v>
      </c>
      <c r="E13" s="11" t="n">
        <f aca="false">C13/B13</f>
        <v>0.0908822328152678</v>
      </c>
      <c r="F13" s="10" t="n">
        <v>0</v>
      </c>
      <c r="G13" s="10" t="n">
        <f aca="false">C13-F13</f>
        <v>3455468</v>
      </c>
      <c r="H13" s="11" t="n">
        <f aca="false">G13/B13</f>
        <v>0.0908822328152678</v>
      </c>
    </row>
    <row r="14" customFormat="false" ht="15" hidden="false" customHeight="true" outlineLevel="0" collapsed="false">
      <c r="A14" s="9" t="s">
        <v>155</v>
      </c>
      <c r="B14" s="10" t="n">
        <v>5387455</v>
      </c>
      <c r="C14" s="10" t="n">
        <v>622032</v>
      </c>
      <c r="D14" s="10" t="n">
        <f aca="false">B14-C14</f>
        <v>4765423</v>
      </c>
      <c r="E14" s="11" t="n">
        <f aca="false">C14/B14</f>
        <v>0.115459340263631</v>
      </c>
      <c r="F14" s="10" t="n">
        <v>0</v>
      </c>
      <c r="G14" s="10" t="n">
        <f aca="false">C14-F14</f>
        <v>622032</v>
      </c>
      <c r="H14" s="11" t="n">
        <f aca="false">G14/B14</f>
        <v>0.115459340263631</v>
      </c>
    </row>
    <row r="15" customFormat="false" ht="15" hidden="false" customHeight="true" outlineLevel="0" collapsed="false">
      <c r="A15" s="9" t="s">
        <v>156</v>
      </c>
      <c r="B15" s="10" t="n">
        <v>1150454</v>
      </c>
      <c r="C15" s="10" t="n">
        <v>185391</v>
      </c>
      <c r="D15" s="10" t="n">
        <f aca="false">B15-C15</f>
        <v>965063</v>
      </c>
      <c r="E15" s="11" t="n">
        <f aca="false">C15/B15</f>
        <v>0.161145947599817</v>
      </c>
      <c r="F15" s="10" t="n">
        <v>0</v>
      </c>
      <c r="G15" s="10" t="n">
        <f aca="false">C15-F15</f>
        <v>185391</v>
      </c>
      <c r="H15" s="11" t="n">
        <f aca="false">G15/B15</f>
        <v>0.161145947599817</v>
      </c>
    </row>
    <row r="16" customFormat="false" ht="15" hidden="false" customHeight="true" outlineLevel="0" collapsed="false">
      <c r="A16" s="9" t="s">
        <v>157</v>
      </c>
      <c r="B16" s="10" t="n">
        <v>13382163</v>
      </c>
      <c r="C16" s="10" t="n">
        <v>1205810</v>
      </c>
      <c r="D16" s="10" t="n">
        <f aca="false">B16-C16</f>
        <v>12176353</v>
      </c>
      <c r="E16" s="11" t="n">
        <f aca="false">C16/B16</f>
        <v>0.090105762424206</v>
      </c>
      <c r="F16" s="10" t="n">
        <v>477313</v>
      </c>
      <c r="G16" s="10" t="n">
        <f aca="false">C16-F16</f>
        <v>728497</v>
      </c>
      <c r="H16" s="11" t="n">
        <f aca="false">G16/B16</f>
        <v>0.0544379111209451</v>
      </c>
    </row>
    <row r="17" customFormat="false" ht="15" hidden="false" customHeight="true" outlineLevel="0" collapsed="false">
      <c r="A17" s="9" t="s">
        <v>158</v>
      </c>
      <c r="B17" s="10" t="n">
        <v>3763360</v>
      </c>
      <c r="C17" s="10" t="n">
        <v>470419</v>
      </c>
      <c r="D17" s="10" t="n">
        <f aca="false">B17-C17</f>
        <v>3292941</v>
      </c>
      <c r="E17" s="11" t="n">
        <f aca="false">C17/B17</f>
        <v>0.124999734280005</v>
      </c>
      <c r="F17" s="10" t="n">
        <v>0</v>
      </c>
      <c r="G17" s="10" t="n">
        <f aca="false">C17-F17</f>
        <v>470419</v>
      </c>
      <c r="H17" s="11" t="n">
        <f aca="false">G17/B17</f>
        <v>0.124999734280005</v>
      </c>
    </row>
    <row r="18" customFormat="false" ht="15" hidden="false" customHeight="true" outlineLevel="0" collapsed="false">
      <c r="A18" s="9" t="s">
        <v>159</v>
      </c>
      <c r="B18" s="10" t="n">
        <v>107356946</v>
      </c>
      <c r="C18" s="10" t="n">
        <v>10789378</v>
      </c>
      <c r="D18" s="10" t="n">
        <f aca="false">B18-C18</f>
        <v>96567568</v>
      </c>
      <c r="E18" s="11" t="n">
        <f aca="false">C18/B18</f>
        <v>0.10050004589363</v>
      </c>
      <c r="F18" s="10" t="n">
        <v>5453304</v>
      </c>
      <c r="G18" s="10" t="n">
        <f aca="false">C18-F18</f>
        <v>5336074</v>
      </c>
      <c r="H18" s="11" t="n">
        <f aca="false">G18/B18</f>
        <v>0.0497040405750737</v>
      </c>
    </row>
    <row r="19" customFormat="false" ht="15" hidden="false" customHeight="true" outlineLevel="0" collapsed="false">
      <c r="A19" s="9" t="s">
        <v>160</v>
      </c>
      <c r="B19" s="10" t="n">
        <v>8302692</v>
      </c>
      <c r="C19" s="10" t="n">
        <v>1084523</v>
      </c>
      <c r="D19" s="10" t="n">
        <f aca="false">B19-C19</f>
        <v>7218169</v>
      </c>
      <c r="E19" s="11" t="n">
        <f aca="false">C19/B19</f>
        <v>0.130623055751074</v>
      </c>
      <c r="F19" s="10" t="n">
        <v>0</v>
      </c>
      <c r="G19" s="10" t="n">
        <f aca="false">C19-F19</f>
        <v>1084523</v>
      </c>
      <c r="H19" s="11" t="n">
        <f aca="false">G19/B19</f>
        <v>0.130623055751074</v>
      </c>
    </row>
    <row r="20" customFormat="false" ht="15" hidden="false" customHeight="true" outlineLevel="0" collapsed="false">
      <c r="A20" s="9" t="s">
        <v>161</v>
      </c>
      <c r="B20" s="10" t="n">
        <v>600000</v>
      </c>
      <c r="C20" s="10" t="n">
        <v>600000</v>
      </c>
      <c r="D20" s="10" t="n">
        <f aca="false">B20-C20</f>
        <v>0</v>
      </c>
      <c r="E20" s="11" t="n">
        <f aca="false">C20/B20</f>
        <v>1</v>
      </c>
      <c r="F20" s="10" t="n">
        <v>0</v>
      </c>
      <c r="G20" s="10" t="n">
        <f aca="false">C20-F20</f>
        <v>600000</v>
      </c>
      <c r="H20" s="11" t="n">
        <f aca="false">G20/B20</f>
        <v>1</v>
      </c>
    </row>
    <row r="21" customFormat="false" ht="15" hidden="false" customHeight="true" outlineLevel="0" collapsed="false">
      <c r="A21" s="12" t="s">
        <v>162</v>
      </c>
      <c r="B21" s="13" t="n">
        <f aca="false">SUM(B5:B20)</f>
        <v>288203637</v>
      </c>
      <c r="C21" s="13" t="n">
        <f aca="false">SUM(C5:C20)</f>
        <v>29680018</v>
      </c>
      <c r="D21" s="13" t="n">
        <f aca="false">SUM(D5:D20)</f>
        <v>258523619</v>
      </c>
      <c r="E21" s="14" t="n">
        <f aca="false">C21/B21</f>
        <v>0.102982801705587</v>
      </c>
      <c r="F21" s="13" t="n">
        <f aca="false">SUM(F5:F20)</f>
        <v>9633945</v>
      </c>
      <c r="G21" s="13" t="n">
        <f aca="false">SUM(G5:G20)</f>
        <v>20046073</v>
      </c>
      <c r="H21" s="14" t="n">
        <f aca="false">G21/B21</f>
        <v>0.0695552395128171</v>
      </c>
    </row>
    <row r="23" customFormat="false" ht="30" hidden="false" customHeight="true" outlineLevel="0" collapsed="false">
      <c r="A23" s="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6"/>
  </cols>
  <sheetData>
    <row r="1" customFormat="false" ht="15.75" hidden="false" customHeight="true" outlineLevel="0" collapsed="false">
      <c r="A1" s="7" t="s">
        <v>165</v>
      </c>
    </row>
    <row r="2" customFormat="false" ht="57.75" hidden="false" customHeight="true" outlineLevel="0" collapsed="false">
      <c r="A2" s="27" t="s">
        <v>166</v>
      </c>
      <c r="B2" s="27"/>
      <c r="C2" s="27"/>
      <c r="D2" s="27"/>
      <c r="E2" s="27"/>
      <c r="F2" s="27"/>
      <c r="G2" s="27"/>
    </row>
    <row r="4" customFormat="false" ht="26.25" hidden="false" customHeight="true" outlineLevel="0" collapsed="false">
      <c r="A4" s="8" t="s">
        <v>138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customFormat="false" ht="15" hidden="false" customHeight="true" outlineLevel="0" collapsed="false">
      <c r="A5" s="9" t="s">
        <v>146</v>
      </c>
      <c r="B5" s="10" t="n">
        <v>7696001</v>
      </c>
      <c r="C5" s="10" t="n">
        <v>7696001</v>
      </c>
      <c r="D5" s="10" t="n">
        <f aca="false">B5-C5</f>
        <v>0</v>
      </c>
      <c r="E5" s="11" t="n">
        <f aca="false">D5/B5</f>
        <v>0</v>
      </c>
      <c r="F5" s="10" t="n">
        <v>7696001</v>
      </c>
      <c r="G5" s="10" t="n">
        <f aca="false">F5-C5</f>
        <v>0</v>
      </c>
    </row>
    <row r="6" customFormat="false" ht="15" hidden="false" customHeight="true" outlineLevel="0" collapsed="false">
      <c r="A6" s="9" t="s">
        <v>147</v>
      </c>
      <c r="B6" s="10" t="n">
        <v>3929199</v>
      </c>
      <c r="C6" s="10" t="n">
        <v>3640639</v>
      </c>
      <c r="D6" s="10" t="n">
        <f aca="false">B6-C6</f>
        <v>288560</v>
      </c>
      <c r="E6" s="11" t="n">
        <f aca="false">D6/B6</f>
        <v>0.0734399046726827</v>
      </c>
      <c r="F6" s="10" t="n">
        <v>3640639</v>
      </c>
      <c r="G6" s="10" t="n">
        <f aca="false">F6-C6</f>
        <v>0</v>
      </c>
    </row>
    <row r="7" customFormat="false" ht="15" hidden="false" customHeight="true" outlineLevel="0" collapsed="false">
      <c r="A7" s="9" t="s">
        <v>173</v>
      </c>
      <c r="B7" s="10" t="n">
        <v>1289953</v>
      </c>
      <c r="C7" s="10" t="n">
        <v>1218245</v>
      </c>
      <c r="D7" s="10" t="n">
        <f aca="false">B7-C7</f>
        <v>71708</v>
      </c>
      <c r="E7" s="11" t="n">
        <f aca="false">D7/B7</f>
        <v>0.0555896222575551</v>
      </c>
      <c r="F7" s="10" t="n">
        <v>1218245</v>
      </c>
      <c r="G7" s="10" t="n">
        <f aca="false">F7-C7</f>
        <v>0</v>
      </c>
    </row>
    <row r="8" customFormat="false" ht="15" hidden="false" customHeight="true" outlineLevel="0" collapsed="false">
      <c r="A8" s="9" t="s">
        <v>149</v>
      </c>
      <c r="B8" s="10" t="n">
        <v>6899331</v>
      </c>
      <c r="C8" s="10" t="n">
        <v>6036186</v>
      </c>
      <c r="D8" s="10" t="n">
        <f aca="false">B8-C8</f>
        <v>863145</v>
      </c>
      <c r="E8" s="11" t="n">
        <f aca="false">D8/B8</f>
        <v>0.125105608065478</v>
      </c>
      <c r="F8" s="10" t="n">
        <v>6036186</v>
      </c>
      <c r="G8" s="10" t="n">
        <f aca="false">F8-C8</f>
        <v>0</v>
      </c>
    </row>
    <row r="9" customFormat="false" ht="15" hidden="false" customHeight="true" outlineLevel="0" collapsed="false">
      <c r="A9" s="9" t="s">
        <v>150</v>
      </c>
      <c r="B9" s="10" t="n">
        <v>3952847</v>
      </c>
      <c r="C9" s="10" t="n">
        <v>3742391</v>
      </c>
      <c r="D9" s="10" t="n">
        <f aca="false">B9-C9</f>
        <v>210456</v>
      </c>
      <c r="E9" s="11" t="n">
        <f aca="false">D9/B9</f>
        <v>0.0532416255928955</v>
      </c>
      <c r="F9" s="10" t="n">
        <v>3903580</v>
      </c>
      <c r="G9" s="10" t="n">
        <f aca="false">F9-C9</f>
        <v>161189</v>
      </c>
    </row>
    <row r="10" customFormat="false" ht="15" hidden="false" customHeight="true" outlineLevel="0" collapsed="false">
      <c r="A10" s="9" t="s">
        <v>174</v>
      </c>
      <c r="B10" s="10" t="n">
        <v>18713660</v>
      </c>
      <c r="C10" s="10" t="n">
        <v>16224173</v>
      </c>
      <c r="D10" s="10" t="n">
        <f aca="false">B10-C10</f>
        <v>2489487</v>
      </c>
      <c r="E10" s="11" t="n">
        <f aca="false">D10/B10</f>
        <v>0.133030470789787</v>
      </c>
      <c r="F10" s="10" t="n">
        <v>16608790</v>
      </c>
      <c r="G10" s="10" t="n">
        <f aca="false">F10-C10</f>
        <v>384617</v>
      </c>
    </row>
    <row r="11" customFormat="false" ht="15" hidden="false" customHeight="true" outlineLevel="0" collapsed="false">
      <c r="A11" s="9" t="s">
        <v>152</v>
      </c>
      <c r="B11" s="10" t="n">
        <v>9887235</v>
      </c>
      <c r="C11" s="10" t="n">
        <v>9202879</v>
      </c>
      <c r="D11" s="10" t="n">
        <f aca="false">B11-C11</f>
        <v>684356</v>
      </c>
      <c r="E11" s="11" t="n">
        <f aca="false">D11/B11</f>
        <v>0.0692161155267373</v>
      </c>
      <c r="F11" s="10" t="n">
        <v>9462721</v>
      </c>
      <c r="G11" s="10" t="n">
        <f aca="false">F11-C11</f>
        <v>259842</v>
      </c>
    </row>
    <row r="12" customFormat="false" ht="15" hidden="false" customHeight="true" outlineLevel="0" collapsed="false">
      <c r="A12" s="9" t="s">
        <v>153</v>
      </c>
      <c r="B12" s="10" t="n">
        <v>55650689</v>
      </c>
      <c r="C12" s="10" t="n">
        <v>48997597</v>
      </c>
      <c r="D12" s="10" t="n">
        <f aca="false">B12-C12</f>
        <v>6653092</v>
      </c>
      <c r="E12" s="11" t="n">
        <f aca="false">D12/B12</f>
        <v>0.11955093673683</v>
      </c>
      <c r="F12" s="10" t="n">
        <v>50406027</v>
      </c>
      <c r="G12" s="10" t="n">
        <f aca="false">F12-C12</f>
        <v>1408430</v>
      </c>
    </row>
    <row r="13" customFormat="false" ht="15" hidden="false" customHeight="true" outlineLevel="0" collapsed="false">
      <c r="A13" s="9" t="s">
        <v>175</v>
      </c>
      <c r="B13" s="10" t="n">
        <v>37548665</v>
      </c>
      <c r="C13" s="10" t="n">
        <v>33986993</v>
      </c>
      <c r="D13" s="10" t="n">
        <f aca="false">B13-C13</f>
        <v>3561672</v>
      </c>
      <c r="E13" s="11" t="n">
        <f aca="false">D13/B13</f>
        <v>0.0948548237334137</v>
      </c>
      <c r="F13" s="10" t="n">
        <v>34565913</v>
      </c>
      <c r="G13" s="10" t="n">
        <f aca="false">F13-C13</f>
        <v>578920</v>
      </c>
    </row>
    <row r="14" customFormat="false" ht="15" hidden="false" customHeight="true" outlineLevel="0" collapsed="false">
      <c r="A14" s="9" t="s">
        <v>155</v>
      </c>
      <c r="B14" s="10" t="n">
        <v>5212918</v>
      </c>
      <c r="C14" s="10" t="n">
        <v>4587144</v>
      </c>
      <c r="D14" s="10" t="n">
        <f aca="false">B14-C14</f>
        <v>625774</v>
      </c>
      <c r="E14" s="11" t="n">
        <f aca="false">D14/B14</f>
        <v>0.120042939482263</v>
      </c>
      <c r="F14" s="10" t="n">
        <v>4765423</v>
      </c>
      <c r="G14" s="10" t="n">
        <f aca="false">F14-C14</f>
        <v>178279</v>
      </c>
    </row>
    <row r="15" customFormat="false" ht="15" hidden="false" customHeight="true" outlineLevel="0" collapsed="false">
      <c r="A15" s="9" t="s">
        <v>156</v>
      </c>
      <c r="B15" s="10" t="n">
        <v>1150454</v>
      </c>
      <c r="C15" s="10" t="n">
        <v>965062</v>
      </c>
      <c r="D15" s="10" t="n">
        <f aca="false">B15-C15</f>
        <v>185392</v>
      </c>
      <c r="E15" s="11" t="n">
        <f aca="false">D15/B15</f>
        <v>0.161146816821881</v>
      </c>
      <c r="F15" s="10" t="n">
        <v>965062</v>
      </c>
      <c r="G15" s="10" t="n">
        <f aca="false">F15-C15</f>
        <v>0</v>
      </c>
    </row>
    <row r="16" customFormat="false" ht="15" hidden="false" customHeight="true" outlineLevel="0" collapsed="false">
      <c r="A16" s="9" t="s">
        <v>176</v>
      </c>
      <c r="B16" s="10" t="n">
        <v>13233201</v>
      </c>
      <c r="C16" s="10" t="n">
        <v>12042251</v>
      </c>
      <c r="D16" s="10" t="n">
        <f aca="false">B16-C16</f>
        <v>1190950</v>
      </c>
      <c r="E16" s="11" t="n">
        <f aca="false">D16/B16</f>
        <v>0.0899971216336849</v>
      </c>
      <c r="F16" s="10" t="n">
        <v>12176353</v>
      </c>
      <c r="G16" s="10" t="n">
        <f aca="false">F16-C16</f>
        <v>134102</v>
      </c>
    </row>
    <row r="17" customFormat="false" ht="15" hidden="false" customHeight="true" outlineLevel="0" collapsed="false">
      <c r="A17" s="9" t="s">
        <v>158</v>
      </c>
      <c r="B17" s="10" t="n">
        <v>3666161</v>
      </c>
      <c r="C17" s="10" t="n">
        <v>3207892</v>
      </c>
      <c r="D17" s="10" t="n">
        <f aca="false">B17-C17</f>
        <v>458269</v>
      </c>
      <c r="E17" s="11" t="n">
        <f aca="false">D17/B17</f>
        <v>0.124999693139499</v>
      </c>
      <c r="F17" s="10" t="n">
        <v>3292941</v>
      </c>
      <c r="G17" s="10" t="n">
        <f aca="false">F17-C17</f>
        <v>85049</v>
      </c>
    </row>
    <row r="18" customFormat="false" ht="15" hidden="false" customHeight="true" outlineLevel="0" collapsed="false">
      <c r="A18" s="9" t="s">
        <v>159</v>
      </c>
      <c r="B18" s="10" t="n">
        <v>106198574</v>
      </c>
      <c r="C18" s="10" t="n">
        <v>95609857</v>
      </c>
      <c r="D18" s="10" t="n">
        <f aca="false">B18-C18</f>
        <v>10588717</v>
      </c>
      <c r="E18" s="11" t="n">
        <f aca="false">D18/B18</f>
        <v>0.0997067719572204</v>
      </c>
      <c r="F18" s="10" t="n">
        <v>96567568</v>
      </c>
      <c r="G18" s="10" t="n">
        <f aca="false">F18-C18</f>
        <v>957711</v>
      </c>
    </row>
    <row r="19" customFormat="false" ht="15" hidden="false" customHeight="true" outlineLevel="0" collapsed="false">
      <c r="A19" s="9" t="s">
        <v>160</v>
      </c>
      <c r="B19" s="10" t="n">
        <v>8135147</v>
      </c>
      <c r="C19" s="10" t="n">
        <v>7355377</v>
      </c>
      <c r="D19" s="10" t="n">
        <f aca="false">B19-C19</f>
        <v>779770</v>
      </c>
      <c r="E19" s="11" t="n">
        <f aca="false">D19/B19</f>
        <v>0.0958519864484317</v>
      </c>
      <c r="F19" s="10" t="n">
        <v>7218169</v>
      </c>
      <c r="G19" s="10" t="n">
        <f aca="false">F19-C19</f>
        <v>-137208</v>
      </c>
    </row>
    <row r="20" customFormat="false" ht="15" hidden="false" customHeight="true" outlineLevel="0" collapsed="false">
      <c r="A20" s="12" t="s">
        <v>177</v>
      </c>
      <c r="B20" s="13" t="n">
        <f aca="false">SUM(B5:B19)</f>
        <v>283164035</v>
      </c>
      <c r="C20" s="13" t="n">
        <f aca="false">SUM(C5:C19)</f>
        <v>254512687</v>
      </c>
      <c r="D20" s="13" t="n">
        <f aca="false">SUM(D5:D19)</f>
        <v>28651348</v>
      </c>
      <c r="E20" s="14" t="n">
        <f aca="false">D20/B20</f>
        <v>0.101182863847805</v>
      </c>
      <c r="F20" s="13" t="n">
        <f aca="false">SUM(F5:F19)</f>
        <v>258523618</v>
      </c>
      <c r="G20" s="13" t="n">
        <f aca="false">SUM(G5:G19)</f>
        <v>4010931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4"/>
  </cols>
  <sheetData>
    <row r="1" customFormat="false" ht="15.75" hidden="false" customHeight="true" outlineLevel="0" collapsed="false">
      <c r="A1" s="7" t="s">
        <v>178</v>
      </c>
    </row>
    <row r="2" customFormat="false" ht="15" hidden="false" customHeight="true" outlineLevel="0" collapsed="false">
      <c r="A2" s="3" t="s">
        <v>123</v>
      </c>
    </row>
    <row r="4" customFormat="false" ht="51.75" hidden="false" customHeight="true" outlineLevel="0" collapsed="false">
      <c r="A4" s="8" t="s">
        <v>179</v>
      </c>
      <c r="B4" s="8" t="s">
        <v>180</v>
      </c>
      <c r="C4" s="8" t="s">
        <v>181</v>
      </c>
      <c r="D4" s="8" t="s">
        <v>182</v>
      </c>
      <c r="E4" s="8" t="s">
        <v>183</v>
      </c>
      <c r="F4" s="8" t="s">
        <v>184</v>
      </c>
      <c r="G4" s="8" t="s">
        <v>185</v>
      </c>
      <c r="H4" s="8" t="s">
        <v>186</v>
      </c>
    </row>
    <row r="5" customFormat="false" ht="15" hidden="false" customHeight="true" outlineLevel="0" collapsed="false">
      <c r="A5" s="28" t="s">
        <v>187</v>
      </c>
      <c r="B5" s="29" t="n">
        <v>1608.99</v>
      </c>
      <c r="C5" s="29" t="n">
        <v>45</v>
      </c>
      <c r="D5" s="29" t="n">
        <v>1559.54</v>
      </c>
      <c r="E5" s="29" t="n">
        <v>138</v>
      </c>
      <c r="F5" s="29" t="n">
        <f aca="false">D5-E5</f>
        <v>1421.54</v>
      </c>
      <c r="G5" s="29" t="n">
        <f aca="false">C5+E5</f>
        <v>183</v>
      </c>
      <c r="H5" s="11" t="n">
        <f aca="false">G5/B5</f>
        <v>0.113735946152555</v>
      </c>
    </row>
    <row r="6" customFormat="false" ht="15" hidden="false" customHeight="true" outlineLevel="0" collapsed="false">
      <c r="A6" s="9" t="s">
        <v>188</v>
      </c>
      <c r="B6" s="29" t="n">
        <v>1608.99</v>
      </c>
      <c r="C6" s="29" t="n">
        <v>45</v>
      </c>
      <c r="D6" s="29" t="n">
        <v>1559.54</v>
      </c>
      <c r="E6" s="29" t="n">
        <v>105</v>
      </c>
      <c r="F6" s="29" t="n">
        <f aca="false">D6-E6</f>
        <v>1454.54</v>
      </c>
      <c r="G6" s="29" t="n">
        <f aca="false">C6+E6</f>
        <v>150</v>
      </c>
      <c r="H6" s="11" t="n">
        <f aca="false">G6/B6</f>
        <v>0.093226185370947</v>
      </c>
    </row>
    <row r="9" customFormat="false" ht="15" hidden="false" customHeight="true" outlineLevel="0" collapsed="false">
      <c r="A9" s="17" t="s">
        <v>189</v>
      </c>
    </row>
    <row r="10" customFormat="false" ht="15" hidden="false" customHeight="true" outlineLevel="0" collapsed="false">
      <c r="A10" s="30" t="s">
        <v>179</v>
      </c>
      <c r="B10" s="30" t="s">
        <v>190</v>
      </c>
      <c r="C10" s="30" t="s">
        <v>191</v>
      </c>
      <c r="D10" s="30" t="s">
        <v>192</v>
      </c>
    </row>
    <row r="11" customFormat="false" ht="15" hidden="false" customHeight="true" outlineLevel="0" collapsed="false">
      <c r="A11" s="9" t="s">
        <v>193</v>
      </c>
      <c r="B11" s="31" t="n">
        <v>100</v>
      </c>
      <c r="C11" s="31" t="n">
        <v>38</v>
      </c>
      <c r="D11" s="31" t="n">
        <f aca="false">B11+C11</f>
        <v>138</v>
      </c>
    </row>
    <row r="12" customFormat="false" ht="15" hidden="false" customHeight="true" outlineLevel="0" collapsed="false">
      <c r="A12" s="9" t="s">
        <v>188</v>
      </c>
      <c r="B12" s="31" t="n">
        <v>85</v>
      </c>
      <c r="C12" s="31" t="n">
        <v>20</v>
      </c>
      <c r="D12" s="31" t="n">
        <f aca="false">B12+C12</f>
        <v>105</v>
      </c>
    </row>
    <row r="14" customFormat="false" ht="15" hidden="false" customHeight="true" outlineLevel="0" collapsed="false">
      <c r="A14" s="3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7" t="s">
        <v>195</v>
      </c>
    </row>
    <row r="2" customFormat="false" ht="15" hidden="false" customHeight="true" outlineLevel="0" collapsed="false">
      <c r="A2" s="3" t="s">
        <v>123</v>
      </c>
    </row>
    <row r="4" customFormat="false" ht="15" hidden="false" customHeight="true" outlineLevel="0" collapsed="false">
      <c r="A4" s="8" t="s">
        <v>196</v>
      </c>
      <c r="B4" s="8" t="s">
        <v>101</v>
      </c>
    </row>
    <row r="5" customFormat="false" ht="15" hidden="false" customHeight="true" outlineLevel="0" collapsed="false">
      <c r="A5" s="9" t="s">
        <v>197</v>
      </c>
      <c r="B5" s="10" t="n">
        <v>4177541</v>
      </c>
    </row>
    <row r="6" customFormat="false" ht="15" hidden="false" customHeight="true" outlineLevel="0" collapsed="false">
      <c r="A6" s="9" t="s">
        <v>198</v>
      </c>
      <c r="B6" s="10" t="n">
        <v>7877572</v>
      </c>
    </row>
    <row r="7" customFormat="false" ht="15" hidden="false" customHeight="true" outlineLevel="0" collapsed="false">
      <c r="A7" s="12" t="s">
        <v>199</v>
      </c>
      <c r="B7" s="13" t="n">
        <f aca="false">SUM(B5:B6)</f>
        <v>12055113</v>
      </c>
    </row>
    <row r="9" customFormat="false" ht="15" hidden="false" customHeight="true" outlineLevel="0" collapsed="false">
      <c r="A9" s="8" t="s">
        <v>200</v>
      </c>
      <c r="B9" s="8" t="s">
        <v>101</v>
      </c>
    </row>
    <row r="10" customFormat="false" ht="15" hidden="false" customHeight="true" outlineLevel="0" collapsed="false">
      <c r="A10" s="9" t="s">
        <v>201</v>
      </c>
      <c r="B10" s="10" t="n">
        <v>9443000</v>
      </c>
    </row>
    <row r="11" customFormat="false" ht="15" hidden="false" customHeight="true" outlineLevel="0" collapsed="false">
      <c r="A11" s="9" t="s">
        <v>202</v>
      </c>
      <c r="B11" s="10" t="n">
        <v>2100000</v>
      </c>
    </row>
    <row r="12" customFormat="false" ht="15" hidden="false" customHeight="true" outlineLevel="0" collapsed="false">
      <c r="A12" s="9" t="s">
        <v>203</v>
      </c>
      <c r="B12" s="10" t="n">
        <v>500000</v>
      </c>
    </row>
    <row r="13" customFormat="false" ht="15" hidden="false" customHeight="true" outlineLevel="0" collapsed="false">
      <c r="A13" s="12" t="s">
        <v>204</v>
      </c>
      <c r="B13" s="13" t="n">
        <f aca="false">SUM(B10:B12)</f>
        <v>12043000</v>
      </c>
    </row>
    <row r="14" customFormat="false" ht="15" hidden="false" customHeight="true" outlineLevel="0" collapsed="false">
      <c r="A14" s="32" t="s">
        <v>205</v>
      </c>
      <c r="B14" s="33" t="n">
        <f aca="false">B7-B13</f>
        <v>12113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66"/>
  </cols>
  <sheetData>
    <row r="1" customFormat="false" ht="15.75" hidden="false" customHeight="true" outlineLevel="0" collapsed="false">
      <c r="A1" s="7" t="s">
        <v>206</v>
      </c>
    </row>
    <row r="2" customFormat="false" ht="15" hidden="false" customHeight="true" outlineLevel="0" collapsed="false">
      <c r="A2" s="3" t="s">
        <v>207</v>
      </c>
    </row>
    <row r="3" customFormat="false" ht="27.75" hidden="false" customHeight="true" outlineLevel="0" collapsed="false">
      <c r="A3" s="34" t="s">
        <v>208</v>
      </c>
      <c r="B3" s="34"/>
      <c r="C3" s="34"/>
      <c r="D3" s="34"/>
    </row>
    <row r="5" customFormat="false" ht="15" hidden="false" customHeight="true" outlineLevel="0" collapsed="false">
      <c r="A5" s="8" t="s">
        <v>209</v>
      </c>
      <c r="B5" s="8" t="s">
        <v>210</v>
      </c>
      <c r="C5" s="8" t="s">
        <v>211</v>
      </c>
      <c r="D5" s="8" t="s">
        <v>212</v>
      </c>
    </row>
    <row r="6" customFormat="false" ht="45.75" hidden="false" customHeight="true" outlineLevel="0" collapsed="false">
      <c r="A6" s="35" t="s">
        <v>213</v>
      </c>
      <c r="B6" s="35" t="s">
        <v>214</v>
      </c>
      <c r="C6" s="35" t="s">
        <v>215</v>
      </c>
      <c r="D6" s="35" t="s">
        <v>216</v>
      </c>
    </row>
    <row r="7" customFormat="false" ht="45.75" hidden="false" customHeight="true" outlineLevel="0" collapsed="false">
      <c r="A7" s="35" t="s">
        <v>217</v>
      </c>
      <c r="B7" s="35" t="s">
        <v>214</v>
      </c>
      <c r="C7" s="35" t="s">
        <v>218</v>
      </c>
      <c r="D7" s="35" t="s">
        <v>219</v>
      </c>
    </row>
    <row r="8" customFormat="false" ht="45.75" hidden="false" customHeight="true" outlineLevel="0" collapsed="false">
      <c r="A8" s="35" t="s">
        <v>220</v>
      </c>
      <c r="B8" s="35" t="s">
        <v>221</v>
      </c>
      <c r="C8" s="35" t="s">
        <v>222</v>
      </c>
      <c r="D8" s="35" t="s">
        <v>223</v>
      </c>
    </row>
    <row r="9" customFormat="false" ht="45.75" hidden="false" customHeight="true" outlineLevel="0" collapsed="false">
      <c r="A9" s="35" t="s">
        <v>224</v>
      </c>
      <c r="B9" s="35" t="s">
        <v>225</v>
      </c>
      <c r="C9" s="35" t="s">
        <v>226</v>
      </c>
      <c r="D9" s="35" t="s">
        <v>227</v>
      </c>
    </row>
    <row r="10" customFormat="false" ht="45.75" hidden="false" customHeight="true" outlineLevel="0" collapsed="false">
      <c r="A10" s="35" t="s">
        <v>228</v>
      </c>
      <c r="B10" s="35" t="s">
        <v>221</v>
      </c>
      <c r="C10" s="35" t="s">
        <v>229</v>
      </c>
      <c r="D10" s="35" t="s">
        <v>230</v>
      </c>
    </row>
    <row r="11" customFormat="false" ht="45.75" hidden="false" customHeight="true" outlineLevel="0" collapsed="false">
      <c r="A11" s="35" t="s">
        <v>231</v>
      </c>
      <c r="B11" s="35" t="s">
        <v>221</v>
      </c>
      <c r="C11" s="35" t="s">
        <v>232</v>
      </c>
      <c r="D11" s="35" t="s">
        <v>233</v>
      </c>
    </row>
    <row r="12" customFormat="false" ht="45.75" hidden="false" customHeight="true" outlineLevel="0" collapsed="false">
      <c r="A12" s="35" t="s">
        <v>234</v>
      </c>
      <c r="B12" s="35" t="s">
        <v>221</v>
      </c>
      <c r="C12" s="35" t="s">
        <v>235</v>
      </c>
      <c r="D12" s="35" t="s">
        <v>236</v>
      </c>
    </row>
    <row r="13" customFormat="false" ht="45.75" hidden="false" customHeight="true" outlineLevel="0" collapsed="false">
      <c r="A13" s="35" t="s">
        <v>237</v>
      </c>
      <c r="B13" s="35" t="s">
        <v>238</v>
      </c>
      <c r="C13" s="35" t="s">
        <v>239</v>
      </c>
      <c r="D13" s="35" t="s">
        <v>240</v>
      </c>
    </row>
    <row r="14" customFormat="false" ht="45.75" hidden="false" customHeight="true" outlineLevel="0" collapsed="false">
      <c r="A14" s="35" t="s">
        <v>241</v>
      </c>
      <c r="B14" s="35" t="s">
        <v>225</v>
      </c>
      <c r="C14" s="35" t="s">
        <v>242</v>
      </c>
      <c r="D14" s="35" t="s">
        <v>243</v>
      </c>
    </row>
    <row r="16" customFormat="false" ht="43.5" hidden="false" customHeight="true" outlineLevel="0" collapsed="false">
      <c r="A16" s="19" t="s">
        <v>244</v>
      </c>
      <c r="B16" s="19"/>
      <c r="C16" s="19"/>
      <c r="D16" s="19"/>
    </row>
  </sheetData>
  <mergeCells count="2">
    <mergeCell ref="A3:D3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5" min="3" style="1" width="15"/>
  </cols>
  <sheetData>
    <row r="1" customFormat="false" ht="15.75" hidden="false" customHeight="true" outlineLevel="0" collapsed="false">
      <c r="A1" s="7" t="s">
        <v>245</v>
      </c>
    </row>
    <row r="2" customFormat="false" ht="15" hidden="false" customHeight="true" outlineLevel="0" collapsed="false">
      <c r="A2" s="3" t="s">
        <v>246</v>
      </c>
    </row>
    <row r="4" customFormat="false" ht="15" hidden="false" customHeight="true" outlineLevel="0" collapsed="false">
      <c r="A4" s="8" t="s">
        <v>247</v>
      </c>
      <c r="B4" s="8" t="s">
        <v>248</v>
      </c>
      <c r="C4" s="8" t="s">
        <v>125</v>
      </c>
      <c r="D4" s="8" t="s">
        <v>126</v>
      </c>
      <c r="E4" s="8" t="s">
        <v>249</v>
      </c>
    </row>
    <row r="5" customFormat="false" ht="15" hidden="false" customHeight="true" outlineLevel="0" collapsed="false">
      <c r="A5" s="9" t="s">
        <v>250</v>
      </c>
      <c r="B5" s="9" t="s">
        <v>251</v>
      </c>
      <c r="C5" s="10" t="n">
        <v>1925000</v>
      </c>
      <c r="D5" s="10" t="n">
        <v>1925000</v>
      </c>
      <c r="E5" s="10" t="n">
        <f aca="false">C5+D5</f>
        <v>3850000</v>
      </c>
    </row>
    <row r="6" customFormat="false" ht="15" hidden="false" customHeight="true" outlineLevel="0" collapsed="false">
      <c r="A6" s="9" t="s">
        <v>252</v>
      </c>
      <c r="B6" s="9" t="s">
        <v>251</v>
      </c>
      <c r="C6" s="10" t="n">
        <v>8487000</v>
      </c>
      <c r="D6" s="10" t="n">
        <v>8741000</v>
      </c>
      <c r="E6" s="10" t="n">
        <f aca="false">C6+D6</f>
        <v>17228000</v>
      </c>
    </row>
    <row r="7" customFormat="false" ht="15" hidden="false" customHeight="true" outlineLevel="0" collapsed="false">
      <c r="A7" s="9" t="s">
        <v>253</v>
      </c>
      <c r="B7" s="9" t="s">
        <v>251</v>
      </c>
      <c r="C7" s="10" t="n">
        <v>185000</v>
      </c>
      <c r="D7" s="10" t="n">
        <v>185000</v>
      </c>
      <c r="E7" s="10" t="n">
        <f aca="false">C7+D7</f>
        <v>370000</v>
      </c>
    </row>
    <row r="8" customFormat="false" ht="15" hidden="false" customHeight="true" outlineLevel="0" collapsed="false">
      <c r="A8" s="9" t="s">
        <v>254</v>
      </c>
      <c r="B8" s="9" t="s">
        <v>251</v>
      </c>
      <c r="C8" s="10" t="n">
        <v>900000</v>
      </c>
      <c r="D8" s="10" t="n">
        <v>900000</v>
      </c>
      <c r="E8" s="10" t="n">
        <f aca="false">C8+D8</f>
        <v>1800000</v>
      </c>
    </row>
    <row r="9" customFormat="false" ht="15" hidden="false" customHeight="true" outlineLevel="0" collapsed="false">
      <c r="A9" s="9" t="s">
        <v>255</v>
      </c>
      <c r="B9" s="9" t="s">
        <v>251</v>
      </c>
      <c r="C9" s="10" t="n">
        <v>400000</v>
      </c>
      <c r="D9" s="10" t="n">
        <v>400000</v>
      </c>
      <c r="E9" s="10" t="n">
        <f aca="false">C9+D9</f>
        <v>800000</v>
      </c>
    </row>
    <row r="10" customFormat="false" ht="15" hidden="false" customHeight="true" outlineLevel="0" collapsed="false">
      <c r="A10" s="9" t="s">
        <v>256</v>
      </c>
      <c r="B10" s="9" t="s">
        <v>251</v>
      </c>
      <c r="C10" s="10" t="n">
        <v>100000</v>
      </c>
      <c r="D10" s="10" t="n">
        <v>100000</v>
      </c>
      <c r="E10" s="10" t="n">
        <f aca="false">C10+D10</f>
        <v>200000</v>
      </c>
    </row>
    <row r="11" customFormat="false" ht="15" hidden="false" customHeight="true" outlineLevel="0" collapsed="false">
      <c r="A11" s="9" t="s">
        <v>257</v>
      </c>
      <c r="B11" s="9" t="s">
        <v>258</v>
      </c>
      <c r="C11" s="10" t="n">
        <v>6125000</v>
      </c>
      <c r="D11" s="10" t="n">
        <v>2750000</v>
      </c>
      <c r="E11" s="10" t="n">
        <f aca="false">C11+D11</f>
        <v>8875000</v>
      </c>
    </row>
    <row r="12" customFormat="false" ht="15" hidden="false" customHeight="true" outlineLevel="0" collapsed="false">
      <c r="A12" s="9" t="s">
        <v>220</v>
      </c>
      <c r="B12" s="9" t="s">
        <v>258</v>
      </c>
      <c r="C12" s="10" t="n">
        <v>585000</v>
      </c>
      <c r="D12" s="10" t="n">
        <v>415000</v>
      </c>
      <c r="E12" s="10" t="n">
        <f aca="false">C12+D12</f>
        <v>1000000</v>
      </c>
    </row>
    <row r="13" customFormat="false" ht="15" hidden="false" customHeight="true" outlineLevel="0" collapsed="false">
      <c r="A13" s="9" t="s">
        <v>213</v>
      </c>
      <c r="B13" s="9" t="s">
        <v>258</v>
      </c>
      <c r="C13" s="10" t="n">
        <v>350000</v>
      </c>
      <c r="D13" s="10" t="n">
        <v>350000</v>
      </c>
      <c r="E13" s="10" t="n">
        <f aca="false">C13+D13</f>
        <v>700000</v>
      </c>
    </row>
    <row r="14" customFormat="false" ht="15" hidden="false" customHeight="true" outlineLevel="0" collapsed="false">
      <c r="A14" s="9" t="s">
        <v>259</v>
      </c>
      <c r="B14" s="9" t="s">
        <v>260</v>
      </c>
      <c r="C14" s="10" t="n">
        <v>485000</v>
      </c>
      <c r="D14" s="10" t="n">
        <v>685000</v>
      </c>
      <c r="E14" s="10" t="n">
        <f aca="false">C14+D14</f>
        <v>1170000</v>
      </c>
    </row>
    <row r="15" customFormat="false" ht="15" hidden="false" customHeight="true" outlineLevel="0" collapsed="false">
      <c r="A15" s="9" t="s">
        <v>261</v>
      </c>
      <c r="B15" s="9" t="s">
        <v>262</v>
      </c>
      <c r="C15" s="10" t="n">
        <v>3380000</v>
      </c>
      <c r="D15" s="10" t="n">
        <v>3538000</v>
      </c>
      <c r="E15" s="10" t="n">
        <f aca="false">C15+D15</f>
        <v>6918000</v>
      </c>
    </row>
    <row r="16" customFormat="false" ht="15" hidden="false" customHeight="true" outlineLevel="0" collapsed="false">
      <c r="A16" s="9" t="s">
        <v>263</v>
      </c>
      <c r="B16" s="9" t="s">
        <v>262</v>
      </c>
      <c r="C16" s="10" t="n">
        <v>255000</v>
      </c>
      <c r="D16" s="10" t="n">
        <v>255000</v>
      </c>
      <c r="E16" s="10" t="n">
        <f aca="false">C16+D16</f>
        <v>510000</v>
      </c>
    </row>
    <row r="17" customFormat="false" ht="15" hidden="false" customHeight="true" outlineLevel="0" collapsed="false">
      <c r="A17" s="9" t="s">
        <v>264</v>
      </c>
      <c r="B17" s="9" t="s">
        <v>262</v>
      </c>
      <c r="C17" s="10" t="n">
        <v>3430000</v>
      </c>
      <c r="D17" s="10" t="n">
        <v>3830000</v>
      </c>
      <c r="E17" s="10" t="n">
        <f aca="false">C17+D17</f>
        <v>7260000</v>
      </c>
    </row>
    <row r="18" customFormat="false" ht="15" hidden="false" customHeight="true" outlineLevel="0" collapsed="false">
      <c r="A18" s="9" t="s">
        <v>265</v>
      </c>
      <c r="B18" s="9" t="s">
        <v>262</v>
      </c>
      <c r="C18" s="10" t="n">
        <v>200000</v>
      </c>
      <c r="D18" s="10" t="n">
        <v>680000</v>
      </c>
      <c r="E18" s="10" t="n">
        <f aca="false">C18+D18</f>
        <v>880000</v>
      </c>
    </row>
    <row r="19" customFormat="false" ht="15" hidden="false" customHeight="true" outlineLevel="0" collapsed="false">
      <c r="A19" s="9" t="s">
        <v>266</v>
      </c>
      <c r="B19" s="9" t="s">
        <v>262</v>
      </c>
      <c r="C19" s="10" t="n">
        <v>3750000</v>
      </c>
      <c r="D19" s="10" t="n">
        <v>2900000</v>
      </c>
      <c r="E19" s="10" t="n">
        <f aca="false">C19+D19</f>
        <v>6650000</v>
      </c>
    </row>
    <row r="20" customFormat="false" ht="15" hidden="false" customHeight="true" outlineLevel="0" collapsed="false">
      <c r="A20" s="9" t="s">
        <v>267</v>
      </c>
      <c r="B20" s="9" t="s">
        <v>262</v>
      </c>
      <c r="C20" s="10" t="n">
        <v>25150000</v>
      </c>
      <c r="D20" s="10" t="n">
        <v>22920000</v>
      </c>
      <c r="E20" s="10" t="n">
        <f aca="false">C20+D20</f>
        <v>48070000</v>
      </c>
    </row>
    <row r="21" customFormat="false" ht="15" hidden="false" customHeight="true" outlineLevel="0" collapsed="false">
      <c r="A21" s="9" t="s">
        <v>268</v>
      </c>
      <c r="B21" s="9" t="s">
        <v>262</v>
      </c>
      <c r="C21" s="10" t="n">
        <v>4460000</v>
      </c>
      <c r="D21" s="10" t="n">
        <v>6390000</v>
      </c>
      <c r="E21" s="10" t="n">
        <f aca="false">C21+D21</f>
        <v>10850000</v>
      </c>
    </row>
    <row r="22" customFormat="false" ht="15" hidden="false" customHeight="true" outlineLevel="0" collapsed="false">
      <c r="A22" s="9" t="s">
        <v>269</v>
      </c>
      <c r="B22" s="9" t="s">
        <v>270</v>
      </c>
      <c r="C22" s="10" t="n">
        <v>24128066</v>
      </c>
      <c r="D22" s="10" t="n">
        <v>14476515</v>
      </c>
      <c r="E22" s="10" t="n">
        <f aca="false">C22+D22</f>
        <v>38604581</v>
      </c>
    </row>
    <row r="23" customFormat="false" ht="15" hidden="false" customHeight="true" outlineLevel="0" collapsed="false">
      <c r="A23" s="9" t="s">
        <v>271</v>
      </c>
      <c r="B23" s="9" t="s">
        <v>272</v>
      </c>
      <c r="C23" s="10" t="n">
        <v>9560000</v>
      </c>
      <c r="D23" s="10" t="n">
        <v>4890000</v>
      </c>
      <c r="E23" s="10" t="n">
        <f aca="false">C23+D23</f>
        <v>14450000</v>
      </c>
    </row>
    <row r="24" customFormat="false" ht="15" hidden="false" customHeight="true" outlineLevel="0" collapsed="false">
      <c r="A24" s="9" t="s">
        <v>273</v>
      </c>
      <c r="B24" s="9" t="s">
        <v>274</v>
      </c>
      <c r="C24" s="10" t="n">
        <v>500000</v>
      </c>
      <c r="D24" s="10" t="n">
        <v>0</v>
      </c>
      <c r="E24" s="10" t="n">
        <f aca="false">C24+D24</f>
        <v>500000</v>
      </c>
    </row>
    <row r="25" customFormat="false" ht="15" hidden="false" customHeight="true" outlineLevel="0" collapsed="false">
      <c r="A25" s="9" t="s">
        <v>275</v>
      </c>
      <c r="B25" s="9" t="s">
        <v>274</v>
      </c>
      <c r="C25" s="10" t="n">
        <v>1447000</v>
      </c>
      <c r="D25" s="10" t="n">
        <v>4681000</v>
      </c>
      <c r="E25" s="10" t="n">
        <f aca="false">C25+D25</f>
        <v>6128000</v>
      </c>
    </row>
    <row r="26" customFormat="false" ht="15" hidden="false" customHeight="true" outlineLevel="0" collapsed="false">
      <c r="A26" s="9" t="s">
        <v>276</v>
      </c>
      <c r="B26" s="9" t="s">
        <v>274</v>
      </c>
      <c r="C26" s="10" t="n">
        <v>758000</v>
      </c>
      <c r="D26" s="10" t="n">
        <v>1026000</v>
      </c>
      <c r="E26" s="10" t="n">
        <f aca="false">C26+D26</f>
        <v>1784000</v>
      </c>
    </row>
    <row r="27" customFormat="false" ht="15" hidden="false" customHeight="true" outlineLevel="0" collapsed="false">
      <c r="A27" s="12" t="s">
        <v>277</v>
      </c>
      <c r="B27" s="20"/>
      <c r="C27" s="13" t="n">
        <f aca="false">SUM(C5:C26)</f>
        <v>96560066</v>
      </c>
      <c r="D27" s="13" t="n">
        <f aca="false">SUM(D5:D26)</f>
        <v>82037515</v>
      </c>
      <c r="E27" s="13" t="n">
        <f aca="false">SUM(E5:E26)</f>
        <v>178597581</v>
      </c>
    </row>
    <row r="29" customFormat="false" ht="15" hidden="false" customHeight="true" outlineLevel="0" collapsed="false">
      <c r="A29" s="17" t="s">
        <v>278</v>
      </c>
    </row>
    <row r="30" customFormat="false" ht="27.75" hidden="false" customHeight="true" outlineLevel="0" collapsed="false">
      <c r="A30" s="18" t="s">
        <v>279</v>
      </c>
      <c r="B30" s="18"/>
      <c r="C30" s="18"/>
      <c r="D30" s="18"/>
      <c r="E30" s="18"/>
    </row>
    <row r="31" customFormat="false" ht="27.75" hidden="false" customHeight="true" outlineLevel="0" collapsed="false">
      <c r="A31" s="18" t="s">
        <v>280</v>
      </c>
      <c r="B31" s="18"/>
      <c r="C31" s="18"/>
      <c r="D31" s="18"/>
      <c r="E31" s="18"/>
    </row>
    <row r="32" customFormat="false" ht="27.75" hidden="false" customHeight="true" outlineLevel="0" collapsed="false">
      <c r="A32" s="18" t="s">
        <v>281</v>
      </c>
      <c r="B32" s="18"/>
      <c r="C32" s="18"/>
      <c r="D32" s="18"/>
      <c r="E32" s="18"/>
    </row>
    <row r="33" customFormat="false" ht="27.75" hidden="false" customHeight="true" outlineLevel="0" collapsed="false">
      <c r="A33" s="18" t="s">
        <v>282</v>
      </c>
      <c r="B33" s="18"/>
      <c r="C33" s="18"/>
      <c r="D33" s="18"/>
      <c r="E33" s="18"/>
    </row>
    <row r="34" customFormat="false" ht="27.75" hidden="false" customHeight="true" outlineLevel="0" collapsed="false">
      <c r="A34" s="18" t="s">
        <v>283</v>
      </c>
      <c r="B34" s="18"/>
      <c r="C34" s="18"/>
      <c r="D34" s="18"/>
      <c r="E34" s="18"/>
    </row>
  </sheetData>
  <mergeCells count="5">
    <mergeCell ref="A30:E30"/>
    <mergeCell ref="A31:E31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.75" hidden="false" customHeight="true" outlineLevel="0" collapsed="false">
      <c r="A1" s="7" t="s">
        <v>284</v>
      </c>
    </row>
    <row r="2" customFormat="false" ht="15" hidden="false" customHeight="true" outlineLevel="0" collapsed="false">
      <c r="A2" s="3" t="s">
        <v>285</v>
      </c>
    </row>
    <row r="4" customFormat="false" ht="15" hidden="false" customHeight="true" outlineLevel="0" collapsed="false">
      <c r="A4" s="36" t="s">
        <v>286</v>
      </c>
      <c r="B4" s="36"/>
      <c r="C4" s="36"/>
    </row>
    <row r="5" customFormat="false" ht="15" hidden="false" customHeight="true" outlineLevel="0" collapsed="false">
      <c r="A5" s="9" t="s">
        <v>287</v>
      </c>
      <c r="B5" s="37" t="n">
        <v>31349339</v>
      </c>
      <c r="C5" s="38" t="s">
        <v>288</v>
      </c>
    </row>
    <row r="6" customFormat="false" ht="15" hidden="false" customHeight="true" outlineLevel="0" collapsed="false">
      <c r="A6" s="9" t="s">
        <v>289</v>
      </c>
      <c r="B6" s="37" t="n">
        <v>29251348</v>
      </c>
      <c r="C6" s="38" t="s">
        <v>290</v>
      </c>
    </row>
    <row r="7" customFormat="false" ht="15" hidden="false" customHeight="true" outlineLevel="0" collapsed="false">
      <c r="A7" s="9" t="s">
        <v>291</v>
      </c>
      <c r="B7" s="39" t="n">
        <v>1</v>
      </c>
      <c r="C7" s="38" t="s">
        <v>292</v>
      </c>
    </row>
    <row r="8" customFormat="false" ht="15" hidden="false" customHeight="true" outlineLevel="0" collapsed="false">
      <c r="A8" s="9" t="s">
        <v>293</v>
      </c>
      <c r="B8" s="37" t="n">
        <v>9442995</v>
      </c>
      <c r="C8" s="38" t="s">
        <v>294</v>
      </c>
    </row>
    <row r="9" customFormat="false" ht="15" hidden="false" customHeight="true" outlineLevel="0" collapsed="false">
      <c r="A9" s="9" t="s">
        <v>295</v>
      </c>
      <c r="B9" s="37" t="n">
        <v>2100000</v>
      </c>
      <c r="C9" s="38" t="s">
        <v>296</v>
      </c>
    </row>
    <row r="10" customFormat="false" ht="15" hidden="false" customHeight="true" outlineLevel="0" collapsed="false">
      <c r="A10" s="9" t="s">
        <v>297</v>
      </c>
      <c r="B10" s="37" t="n">
        <v>9442995</v>
      </c>
      <c r="C10" s="38" t="s">
        <v>298</v>
      </c>
    </row>
    <row r="12" customFormat="false" ht="15" hidden="false" customHeight="true" outlineLevel="0" collapsed="false">
      <c r="A12" s="21" t="s">
        <v>299</v>
      </c>
      <c r="B12" s="21"/>
      <c r="C12" s="21"/>
    </row>
    <row r="13" customFormat="false" ht="15" hidden="false" customHeight="true" outlineLevel="0" collapsed="false">
      <c r="A13" s="9" t="s">
        <v>300</v>
      </c>
      <c r="B13" s="10" t="n">
        <f aca="false">B7*B8</f>
        <v>9442995</v>
      </c>
    </row>
    <row r="14" customFormat="false" ht="15" hidden="false" customHeight="true" outlineLevel="0" collapsed="false">
      <c r="A14" s="9" t="s">
        <v>301</v>
      </c>
      <c r="B14" s="10" t="n">
        <f aca="false">B6+B9+B13</f>
        <v>40794343</v>
      </c>
    </row>
    <row r="15" customFormat="false" ht="15" hidden="false" customHeight="true" outlineLevel="0" collapsed="false">
      <c r="A15" s="12" t="s">
        <v>302</v>
      </c>
      <c r="B15" s="13" t="n">
        <f aca="false">B5-B14</f>
        <v>-9445004</v>
      </c>
    </row>
    <row r="16" customFormat="false" ht="15" hidden="false" customHeight="true" outlineLevel="0" collapsed="false">
      <c r="A16" s="9" t="s">
        <v>303</v>
      </c>
      <c r="B16" s="11" t="n">
        <f aca="false">B6/283164035</f>
        <v>0.103301777007098</v>
      </c>
    </row>
    <row r="17" customFormat="false" ht="15" hidden="false" customHeight="true" outlineLevel="0" collapsed="false">
      <c r="A17" s="9" t="s">
        <v>304</v>
      </c>
      <c r="B17" s="10" t="n">
        <f aca="false">B6-IF(B7=1,B10,0)</f>
        <v>19808353</v>
      </c>
    </row>
    <row r="18" customFormat="false" ht="15" hidden="false" customHeight="true" outlineLevel="0" collapsed="false">
      <c r="A18" s="9" t="s">
        <v>305</v>
      </c>
      <c r="B18" s="11" t="n">
        <f aca="false">B17/283164035</f>
        <v>0.0699536330593679</v>
      </c>
    </row>
    <row r="19" customFormat="false" ht="42" hidden="false" customHeight="true" outlineLevel="0" collapsed="false">
      <c r="A19" s="28" t="s">
        <v>306</v>
      </c>
      <c r="B19" s="40" t="str">
        <f aca="false">IF(B7=1,"PASS: ~$9.4M/yr ongoing revenue; cuts to Police/Fire/PRW softened; fire station &amp; specialty units preserved in FY27","FAIL: Deeper cuts required — fire station closure, ~15 officers + 6 dispatchers, Therapeutic Rec at risk")</f>
        <v>PASS: ~$9.4M/yr ongoing revenue; cuts to Police/Fire/PRW softened; fire station &amp; specialty units preserved in FY27</v>
      </c>
    </row>
    <row r="21" customFormat="false" ht="57.75" hidden="false" customHeight="true" outlineLevel="0" collapsed="false">
      <c r="A21" s="19" t="s">
        <v>307</v>
      </c>
      <c r="B21" s="19"/>
      <c r="C21" s="19"/>
    </row>
  </sheetData>
  <mergeCells count="3">
    <mergeCell ref="A4:C4"/>
    <mergeCell ref="A12:C12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</cols>
  <sheetData>
    <row r="1" customFormat="false" ht="17.25" hidden="false" customHeight="true" outlineLevel="0" collapsed="false">
      <c r="A1" s="41" t="s">
        <v>308</v>
      </c>
    </row>
    <row r="2" customFormat="false" ht="15" hidden="false" customHeight="true" outlineLevel="0" collapsed="false">
      <c r="A2" s="3" t="s">
        <v>309</v>
      </c>
    </row>
    <row r="40" customFormat="false" ht="15" hidden="false" customHeight="true" outlineLevel="0" collapsed="false">
      <c r="A40" s="17" t="s">
        <v>310</v>
      </c>
    </row>
    <row r="41" customFormat="false" ht="15" hidden="false" customHeight="true" outlineLevel="0" collapsed="false">
      <c r="A41" s="28" t="s">
        <v>71</v>
      </c>
      <c r="B41" s="28" t="s">
        <v>72</v>
      </c>
    </row>
    <row r="42" customFormat="false" ht="15" hidden="false" customHeight="true" outlineLevel="0" collapsed="false">
      <c r="A42" s="15" t="s">
        <v>76</v>
      </c>
      <c r="B42" s="10" t="n">
        <v>191200000</v>
      </c>
    </row>
    <row r="43" customFormat="false" ht="15" hidden="false" customHeight="true" outlineLevel="0" collapsed="false">
      <c r="A43" s="15" t="s">
        <v>78</v>
      </c>
      <c r="B43" s="10" t="n">
        <v>194900000</v>
      </c>
    </row>
    <row r="44" customFormat="false" ht="15" hidden="false" customHeight="true" outlineLevel="0" collapsed="false">
      <c r="A44" s="15" t="s">
        <v>88</v>
      </c>
      <c r="B44" s="10" t="n">
        <v>311000000</v>
      </c>
    </row>
    <row r="47" customFormat="false" ht="15" hidden="false" customHeight="true" outlineLevel="0" collapsed="false">
      <c r="A47" s="17" t="s">
        <v>311</v>
      </c>
    </row>
    <row r="48" customFormat="false" ht="15" hidden="false" customHeight="true" outlineLevel="0" collapsed="false">
      <c r="A48" s="28" t="s">
        <v>100</v>
      </c>
      <c r="B48" s="28" t="s">
        <v>101</v>
      </c>
    </row>
    <row r="49" customFormat="false" ht="15" hidden="false" customHeight="true" outlineLevel="0" collapsed="false">
      <c r="A49" s="9" t="s">
        <v>312</v>
      </c>
      <c r="B49" s="10" t="n">
        <v>105000000</v>
      </c>
    </row>
    <row r="50" customFormat="false" ht="15" hidden="false" customHeight="true" outlineLevel="0" collapsed="false">
      <c r="A50" s="9" t="s">
        <v>313</v>
      </c>
      <c r="B50" s="10" t="n">
        <v>106000000</v>
      </c>
    </row>
    <row r="51" customFormat="false" ht="15" hidden="false" customHeight="true" outlineLevel="0" collapsed="false">
      <c r="A51" s="9" t="s">
        <v>314</v>
      </c>
      <c r="B51" s="10" t="n">
        <v>100935259</v>
      </c>
    </row>
    <row r="54" customFormat="false" ht="15" hidden="false" customHeight="true" outlineLevel="0" collapsed="false">
      <c r="A54" s="17" t="s">
        <v>315</v>
      </c>
    </row>
    <row r="55" customFormat="false" ht="15" hidden="false" customHeight="true" outlineLevel="0" collapsed="false">
      <c r="A55" s="28" t="s">
        <v>316</v>
      </c>
      <c r="B55" s="28" t="s">
        <v>101</v>
      </c>
    </row>
    <row r="56" customFormat="false" ht="15" hidden="false" customHeight="true" outlineLevel="0" collapsed="false">
      <c r="A56" s="9" t="s">
        <v>317</v>
      </c>
      <c r="B56" s="10" t="n">
        <v>-32256300</v>
      </c>
    </row>
    <row r="57" customFormat="false" ht="15" hidden="false" customHeight="true" outlineLevel="0" collapsed="false">
      <c r="A57" s="9" t="s">
        <v>318</v>
      </c>
      <c r="B57" s="10" t="n">
        <v>5111718</v>
      </c>
    </row>
    <row r="58" customFormat="false" ht="15" hidden="false" customHeight="true" outlineLevel="0" collapsed="false">
      <c r="A58" s="9" t="s">
        <v>319</v>
      </c>
      <c r="B58" s="10" t="n">
        <v>-4204757</v>
      </c>
    </row>
    <row r="59" customFormat="false" ht="15" hidden="false" customHeight="true" outlineLevel="0" collapsed="false">
      <c r="A59" s="9" t="s">
        <v>320</v>
      </c>
      <c r="B59" s="10" t="n">
        <v>2100000</v>
      </c>
    </row>
    <row r="60" customFormat="false" ht="15" hidden="false" customHeight="true" outlineLevel="0" collapsed="false">
      <c r="A60" s="9" t="s">
        <v>321</v>
      </c>
      <c r="B60" s="10" t="n">
        <v>-29249339</v>
      </c>
    </row>
    <row r="63" customFormat="false" ht="15" hidden="false" customHeight="true" outlineLevel="0" collapsed="false">
      <c r="A63" s="17" t="s">
        <v>322</v>
      </c>
    </row>
    <row r="64" customFormat="false" ht="15" hidden="false" customHeight="true" outlineLevel="0" collapsed="false">
      <c r="A64" s="28" t="s">
        <v>138</v>
      </c>
      <c r="B64" s="28" t="s">
        <v>169</v>
      </c>
    </row>
    <row r="65" customFormat="false" ht="15" hidden="false" customHeight="true" outlineLevel="0" collapsed="false">
      <c r="A65" s="9" t="s">
        <v>159</v>
      </c>
      <c r="B65" s="10" t="n">
        <v>10588717</v>
      </c>
    </row>
    <row r="66" customFormat="false" ht="15" hidden="false" customHeight="true" outlineLevel="0" collapsed="false">
      <c r="A66" s="9" t="s">
        <v>153</v>
      </c>
      <c r="B66" s="10" t="n">
        <v>6653092</v>
      </c>
    </row>
    <row r="67" customFormat="false" ht="15" hidden="false" customHeight="true" outlineLevel="0" collapsed="false">
      <c r="A67" s="9" t="s">
        <v>175</v>
      </c>
      <c r="B67" s="10" t="n">
        <v>3561672</v>
      </c>
    </row>
    <row r="68" customFormat="false" ht="15" hidden="false" customHeight="true" outlineLevel="0" collapsed="false">
      <c r="A68" s="9" t="s">
        <v>323</v>
      </c>
      <c r="B68" s="10" t="n">
        <v>2489487</v>
      </c>
    </row>
    <row r="69" customFormat="false" ht="15" hidden="false" customHeight="true" outlineLevel="0" collapsed="false">
      <c r="A69" s="9" t="s">
        <v>324</v>
      </c>
      <c r="B69" s="10" t="n">
        <v>1190950</v>
      </c>
    </row>
    <row r="70" customFormat="false" ht="15" hidden="false" customHeight="true" outlineLevel="0" collapsed="false">
      <c r="A70" s="9" t="s">
        <v>149</v>
      </c>
      <c r="B70" s="10" t="n">
        <v>863145</v>
      </c>
    </row>
    <row r="71" customFormat="false" ht="15" hidden="false" customHeight="true" outlineLevel="0" collapsed="false">
      <c r="A71" s="9" t="s">
        <v>160</v>
      </c>
      <c r="B71" s="10" t="n">
        <v>779771</v>
      </c>
    </row>
    <row r="72" customFormat="false" ht="15" hidden="false" customHeight="true" outlineLevel="0" collapsed="false">
      <c r="A72" s="9" t="s">
        <v>152</v>
      </c>
      <c r="B72" s="10" t="n">
        <v>684356</v>
      </c>
    </row>
    <row r="73" customFormat="false" ht="15" hidden="false" customHeight="true" outlineLevel="0" collapsed="false">
      <c r="A73" s="9" t="s">
        <v>325</v>
      </c>
      <c r="B73" s="10" t="n">
        <v>625774</v>
      </c>
    </row>
    <row r="74" customFormat="false" ht="15" hidden="false" customHeight="true" outlineLevel="0" collapsed="false">
      <c r="A74" s="9" t="s">
        <v>326</v>
      </c>
      <c r="B74" s="10" t="n">
        <v>458269</v>
      </c>
    </row>
    <row r="75" customFormat="false" ht="15" hidden="false" customHeight="true" outlineLevel="0" collapsed="false">
      <c r="A75" s="9" t="s">
        <v>147</v>
      </c>
      <c r="B75" s="10" t="n">
        <v>288560</v>
      </c>
    </row>
    <row r="76" customFormat="false" ht="15" hidden="false" customHeight="true" outlineLevel="0" collapsed="false">
      <c r="A76" s="9" t="s">
        <v>150</v>
      </c>
      <c r="B76" s="10" t="n">
        <v>210456</v>
      </c>
    </row>
    <row r="77" customFormat="false" ht="15" hidden="false" customHeight="true" outlineLevel="0" collapsed="false">
      <c r="A77" s="9" t="s">
        <v>327</v>
      </c>
      <c r="B77" s="10" t="n">
        <v>185391</v>
      </c>
    </row>
    <row r="78" customFormat="false" ht="15" hidden="false" customHeight="true" outlineLevel="0" collapsed="false">
      <c r="A78" s="9" t="s">
        <v>173</v>
      </c>
      <c r="B78" s="10" t="n">
        <v>71708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5"/>
  </cols>
  <sheetData>
    <row r="1" customFormat="false" ht="15.75" hidden="false" customHeight="true" outlineLevel="0" collapsed="false">
      <c r="A1" s="7" t="s">
        <v>328</v>
      </c>
    </row>
    <row r="2" customFormat="false" ht="15" hidden="false" customHeight="true" outlineLevel="0" collapsed="false">
      <c r="A2" s="3" t="s">
        <v>329</v>
      </c>
    </row>
    <row r="4" customFormat="false" ht="15" hidden="false" customHeight="true" outlineLevel="0" collapsed="false">
      <c r="A4" s="8" t="s">
        <v>330</v>
      </c>
      <c r="B4" s="8" t="s">
        <v>331</v>
      </c>
    </row>
    <row r="5" customFormat="false" ht="45.75" hidden="false" customHeight="true" outlineLevel="0" collapsed="false">
      <c r="A5" s="42" t="s">
        <v>332</v>
      </c>
      <c r="B5" s="35" t="s">
        <v>333</v>
      </c>
    </row>
    <row r="6" customFormat="false" ht="45.75" hidden="false" customHeight="true" outlineLevel="0" collapsed="false">
      <c r="A6" s="42" t="s">
        <v>242</v>
      </c>
      <c r="B6" s="35" t="s">
        <v>334</v>
      </c>
    </row>
    <row r="7" customFormat="false" ht="45.75" hidden="false" customHeight="true" outlineLevel="0" collapsed="false">
      <c r="A7" s="42" t="s">
        <v>335</v>
      </c>
      <c r="B7" s="35" t="s">
        <v>336</v>
      </c>
    </row>
    <row r="8" customFormat="false" ht="45.75" hidden="false" customHeight="true" outlineLevel="0" collapsed="false">
      <c r="A8" s="42" t="s">
        <v>337</v>
      </c>
      <c r="B8" s="35" t="s">
        <v>338</v>
      </c>
    </row>
    <row r="9" customFormat="false" ht="45.75" hidden="false" customHeight="true" outlineLevel="0" collapsed="false">
      <c r="A9" s="42" t="s">
        <v>339</v>
      </c>
      <c r="B9" s="35" t="s">
        <v>340</v>
      </c>
    </row>
    <row r="10" customFormat="false" ht="30" hidden="false" customHeight="true" outlineLevel="0" collapsed="false">
      <c r="A10" s="42" t="s">
        <v>341</v>
      </c>
      <c r="B10" s="35" t="s">
        <v>342</v>
      </c>
    </row>
    <row r="11" customFormat="false" ht="30" hidden="false" customHeight="true" outlineLevel="0" collapsed="false">
      <c r="A11" s="42" t="s">
        <v>343</v>
      </c>
      <c r="B11" s="35" t="s">
        <v>344</v>
      </c>
    </row>
    <row r="12" customFormat="false" ht="45.75" hidden="false" customHeight="true" outlineLevel="0" collapsed="false">
      <c r="A12" s="42" t="s">
        <v>345</v>
      </c>
      <c r="B12" s="35" t="s">
        <v>346</v>
      </c>
    </row>
    <row r="13" customFormat="false" ht="30" hidden="false" customHeight="true" outlineLevel="0" collapsed="false">
      <c r="A13" s="42" t="s">
        <v>347</v>
      </c>
      <c r="B13" s="35" t="s">
        <v>348</v>
      </c>
    </row>
    <row r="14" customFormat="false" ht="45.75" hidden="false" customHeight="true" outlineLevel="0" collapsed="false">
      <c r="A14" s="42" t="s">
        <v>349</v>
      </c>
      <c r="B14" s="35" t="s">
        <v>350</v>
      </c>
    </row>
    <row r="15" customFormat="false" ht="45.75" hidden="false" customHeight="true" outlineLevel="0" collapsed="false">
      <c r="A15" s="42" t="s">
        <v>351</v>
      </c>
      <c r="B15" s="35" t="s">
        <v>352</v>
      </c>
    </row>
    <row r="16" customFormat="false" ht="45.75" hidden="false" customHeight="true" outlineLevel="0" collapsed="false">
      <c r="A16" s="42" t="s">
        <v>353</v>
      </c>
      <c r="B16" s="35" t="s">
        <v>354</v>
      </c>
    </row>
    <row r="17" customFormat="false" ht="45.75" hidden="false" customHeight="true" outlineLevel="0" collapsed="false">
      <c r="A17" s="42" t="s">
        <v>355</v>
      </c>
      <c r="B17" s="35" t="s">
        <v>356</v>
      </c>
    </row>
    <row r="18" customFormat="false" ht="30" hidden="false" customHeight="true" outlineLevel="0" collapsed="false">
      <c r="A18" s="42" t="s">
        <v>357</v>
      </c>
      <c r="B18" s="35" t="s">
        <v>358</v>
      </c>
    </row>
    <row r="19" customFormat="false" ht="45.75" hidden="false" customHeight="true" outlineLevel="0" collapsed="false">
      <c r="A19" s="42" t="s">
        <v>359</v>
      </c>
      <c r="B19" s="35" t="s">
        <v>360</v>
      </c>
    </row>
    <row r="20" customFormat="false" ht="30" hidden="false" customHeight="true" outlineLevel="0" collapsed="false">
      <c r="A20" s="42" t="s">
        <v>361</v>
      </c>
      <c r="B20" s="35" t="s">
        <v>362</v>
      </c>
    </row>
    <row r="21" customFormat="false" ht="30" hidden="false" customHeight="true" outlineLevel="0" collapsed="false">
      <c r="A21" s="42" t="s">
        <v>363</v>
      </c>
      <c r="B21" s="35" t="s">
        <v>364</v>
      </c>
    </row>
    <row r="22" customFormat="false" ht="30" hidden="false" customHeight="true" outlineLevel="0" collapsed="false">
      <c r="A22" s="42" t="s">
        <v>365</v>
      </c>
      <c r="B22" s="35" t="s">
        <v>366</v>
      </c>
    </row>
    <row r="23" customFormat="false" ht="30" hidden="false" customHeight="true" outlineLevel="0" collapsed="false">
      <c r="A23" s="42" t="s">
        <v>367</v>
      </c>
      <c r="B23" s="35" t="s">
        <v>368</v>
      </c>
    </row>
    <row r="24" customFormat="false" ht="30" hidden="false" customHeight="true" outlineLevel="0" collapsed="false">
      <c r="A24" s="42" t="s">
        <v>369</v>
      </c>
      <c r="B24" s="35" t="s">
        <v>370</v>
      </c>
    </row>
    <row r="25" customFormat="false" ht="45.75" hidden="false" customHeight="true" outlineLevel="0" collapsed="false">
      <c r="A25" s="42" t="s">
        <v>371</v>
      </c>
      <c r="B25" s="35" t="s">
        <v>372</v>
      </c>
    </row>
    <row r="26" customFormat="false" ht="30" hidden="false" customHeight="true" outlineLevel="0" collapsed="false">
      <c r="A26" s="42" t="s">
        <v>373</v>
      </c>
      <c r="B26" s="35" t="s">
        <v>374</v>
      </c>
    </row>
    <row r="27" customFormat="false" ht="45.75" hidden="false" customHeight="true" outlineLevel="0" collapsed="false">
      <c r="A27" s="42" t="s">
        <v>375</v>
      </c>
      <c r="B27" s="35" t="s">
        <v>376</v>
      </c>
    </row>
    <row r="28" customFormat="false" ht="30" hidden="false" customHeight="true" outlineLevel="0" collapsed="false">
      <c r="A28" s="42" t="s">
        <v>377</v>
      </c>
      <c r="B28" s="35" t="s">
        <v>378</v>
      </c>
    </row>
    <row r="29" customFormat="false" ht="30" hidden="false" customHeight="true" outlineLevel="0" collapsed="false">
      <c r="A29" s="42" t="s">
        <v>379</v>
      </c>
      <c r="B29" s="35" t="s">
        <v>380</v>
      </c>
    </row>
    <row r="30" customFormat="false" ht="30" hidden="false" customHeight="true" outlineLevel="0" collapsed="false">
      <c r="A30" s="42" t="s">
        <v>381</v>
      </c>
      <c r="B30" s="35" t="s">
        <v>382</v>
      </c>
    </row>
    <row r="31" customFormat="false" ht="30" hidden="false" customHeight="true" outlineLevel="0" collapsed="false">
      <c r="A31" s="42" t="s">
        <v>383</v>
      </c>
      <c r="B31" s="35" t="s">
        <v>384</v>
      </c>
    </row>
    <row r="32" customFormat="false" ht="30" hidden="false" customHeight="true" outlineLevel="0" collapsed="false">
      <c r="A32" s="42" t="s">
        <v>234</v>
      </c>
      <c r="B32" s="35" t="s">
        <v>385</v>
      </c>
    </row>
    <row r="33" customFormat="false" ht="45.75" hidden="false" customHeight="true" outlineLevel="0" collapsed="false">
      <c r="A33" s="42" t="s">
        <v>386</v>
      </c>
      <c r="B33" s="35" t="s">
        <v>387</v>
      </c>
    </row>
    <row r="34" customFormat="false" ht="45.75" hidden="false" customHeight="true" outlineLevel="0" collapsed="false">
      <c r="A34" s="42" t="s">
        <v>66</v>
      </c>
      <c r="B34" s="35" t="s">
        <v>388</v>
      </c>
    </row>
    <row r="35" customFormat="false" ht="45.75" hidden="false" customHeight="true" outlineLevel="0" collapsed="false">
      <c r="A35" s="42" t="s">
        <v>389</v>
      </c>
      <c r="B35" s="35" t="s">
        <v>390</v>
      </c>
    </row>
    <row r="36" customFormat="false" ht="45.75" hidden="false" customHeight="true" outlineLevel="0" collapsed="false">
      <c r="A36" s="42" t="s">
        <v>391</v>
      </c>
      <c r="B36" s="35" t="s">
        <v>392</v>
      </c>
    </row>
    <row r="37" customFormat="false" ht="30" hidden="false" customHeight="true" outlineLevel="0" collapsed="false">
      <c r="A37" s="42" t="s">
        <v>393</v>
      </c>
      <c r="B37" s="35" t="s">
        <v>394</v>
      </c>
    </row>
    <row r="38" customFormat="false" ht="30" hidden="false" customHeight="true" outlineLevel="0" collapsed="false">
      <c r="A38" s="42" t="s">
        <v>395</v>
      </c>
      <c r="B38" s="35" t="s">
        <v>396</v>
      </c>
    </row>
    <row r="39" customFormat="false" ht="30" hidden="false" customHeight="true" outlineLevel="0" collapsed="false">
      <c r="A39" s="42" t="s">
        <v>397</v>
      </c>
      <c r="B39" s="35" t="s">
        <v>398</v>
      </c>
    </row>
    <row r="40" customFormat="false" ht="30" hidden="false" customHeight="true" outlineLevel="0" collapsed="false">
      <c r="A40" s="42" t="s">
        <v>399</v>
      </c>
      <c r="B40" s="35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34"/>
    <col collapsed="false" customWidth="true" hidden="false" outlineLevel="0" max="4" min="4" style="1" width="58"/>
  </cols>
  <sheetData>
    <row r="1" customFormat="false" ht="15.75" hidden="false" customHeight="true" outlineLevel="0" collapsed="false">
      <c r="A1" s="7" t="s">
        <v>401</v>
      </c>
    </row>
    <row r="2" customFormat="false" ht="15" hidden="false" customHeight="true" outlineLevel="0" collapsed="false">
      <c r="A2" s="3" t="s">
        <v>402</v>
      </c>
    </row>
    <row r="4" customFormat="false" ht="15" hidden="false" customHeight="true" outlineLevel="0" collapsed="false">
      <c r="A4" s="8" t="s">
        <v>403</v>
      </c>
      <c r="B4" s="8" t="s">
        <v>404</v>
      </c>
      <c r="C4" s="8" t="s">
        <v>405</v>
      </c>
      <c r="D4" s="8" t="s">
        <v>406</v>
      </c>
    </row>
    <row r="5" customFormat="false" ht="42" hidden="false" customHeight="true" outlineLevel="0" collapsed="false">
      <c r="A5" s="43" t="n">
        <v>1</v>
      </c>
      <c r="B5" s="35" t="s">
        <v>407</v>
      </c>
      <c r="C5" s="35" t="s">
        <v>408</v>
      </c>
      <c r="D5" s="44" t="s">
        <v>409</v>
      </c>
    </row>
    <row r="6" customFormat="false" ht="42" hidden="false" customHeight="true" outlineLevel="0" collapsed="false">
      <c r="A6" s="43" t="n">
        <v>2</v>
      </c>
      <c r="B6" s="35" t="s">
        <v>410</v>
      </c>
      <c r="C6" s="35" t="s">
        <v>411</v>
      </c>
      <c r="D6" s="44" t="s">
        <v>412</v>
      </c>
    </row>
    <row r="7" customFormat="false" ht="42" hidden="false" customHeight="true" outlineLevel="0" collapsed="false">
      <c r="A7" s="43" t="n">
        <v>3</v>
      </c>
      <c r="B7" s="35" t="s">
        <v>413</v>
      </c>
      <c r="C7" s="35" t="s">
        <v>414</v>
      </c>
      <c r="D7" s="44" t="s">
        <v>415</v>
      </c>
    </row>
    <row r="8" customFormat="false" ht="42" hidden="false" customHeight="true" outlineLevel="0" collapsed="false">
      <c r="A8" s="43" t="n">
        <v>4</v>
      </c>
      <c r="B8" s="35" t="s">
        <v>416</v>
      </c>
      <c r="C8" s="35" t="s">
        <v>417</v>
      </c>
      <c r="D8" s="44" t="s">
        <v>418</v>
      </c>
    </row>
    <row r="9" customFormat="false" ht="42" hidden="false" customHeight="true" outlineLevel="0" collapsed="false">
      <c r="A9" s="43" t="n">
        <v>5</v>
      </c>
      <c r="B9" s="35" t="s">
        <v>419</v>
      </c>
      <c r="C9" s="35" t="s">
        <v>420</v>
      </c>
      <c r="D9" s="44" t="s">
        <v>421</v>
      </c>
    </row>
    <row r="10" customFormat="false" ht="42" hidden="false" customHeight="true" outlineLevel="0" collapsed="false">
      <c r="A10" s="43" t="n">
        <v>6</v>
      </c>
      <c r="B10" s="35" t="s">
        <v>422</v>
      </c>
      <c r="C10" s="35" t="s">
        <v>423</v>
      </c>
      <c r="D10" s="44" t="s">
        <v>424</v>
      </c>
    </row>
    <row r="11" customFormat="false" ht="42" hidden="false" customHeight="true" outlineLevel="0" collapsed="false">
      <c r="A11" s="43" t="n">
        <v>7</v>
      </c>
      <c r="B11" s="35" t="s">
        <v>425</v>
      </c>
      <c r="C11" s="35" t="s">
        <v>426</v>
      </c>
      <c r="D11" s="44" t="s">
        <v>427</v>
      </c>
    </row>
    <row r="12" customFormat="false" ht="42" hidden="false" customHeight="true" outlineLevel="0" collapsed="false">
      <c r="A12" s="43" t="n">
        <v>8</v>
      </c>
      <c r="B12" s="35" t="s">
        <v>428</v>
      </c>
      <c r="C12" s="35" t="s">
        <v>429</v>
      </c>
      <c r="D12" s="44" t="s">
        <v>430</v>
      </c>
    </row>
    <row r="13" customFormat="false" ht="42" hidden="false" customHeight="true" outlineLevel="0" collapsed="false">
      <c r="A13" s="43" t="n">
        <v>9</v>
      </c>
      <c r="B13" s="35" t="s">
        <v>431</v>
      </c>
      <c r="C13" s="35" t="s">
        <v>432</v>
      </c>
      <c r="D13" s="44" t="s">
        <v>433</v>
      </c>
    </row>
    <row r="14" customFormat="false" ht="42" hidden="false" customHeight="true" outlineLevel="0" collapsed="false">
      <c r="A14" s="43" t="n">
        <v>10</v>
      </c>
      <c r="B14" s="35" t="s">
        <v>434</v>
      </c>
      <c r="C14" s="35" t="s">
        <v>435</v>
      </c>
      <c r="D14" s="44" t="s">
        <v>436</v>
      </c>
    </row>
    <row r="15" customFormat="false" ht="42" hidden="false" customHeight="true" outlineLevel="0" collapsed="false">
      <c r="A15" s="43" t="n">
        <v>11</v>
      </c>
      <c r="B15" s="35" t="s">
        <v>437</v>
      </c>
      <c r="C15" s="35" t="s">
        <v>438</v>
      </c>
      <c r="D15" s="44" t="s">
        <v>439</v>
      </c>
    </row>
    <row r="16" customFormat="false" ht="42" hidden="false" customHeight="true" outlineLevel="0" collapsed="false">
      <c r="A16" s="43" t="n">
        <v>12</v>
      </c>
      <c r="B16" s="35" t="s">
        <v>440</v>
      </c>
      <c r="C16" s="35" t="s">
        <v>441</v>
      </c>
      <c r="D16" s="44" t="s">
        <v>442</v>
      </c>
    </row>
    <row r="17" customFormat="false" ht="42" hidden="false" customHeight="true" outlineLevel="0" collapsed="false">
      <c r="A17" s="43" t="n">
        <v>13</v>
      </c>
      <c r="B17" s="35" t="s">
        <v>443</v>
      </c>
      <c r="C17" s="35" t="s">
        <v>444</v>
      </c>
      <c r="D17" s="44" t="s">
        <v>445</v>
      </c>
    </row>
    <row r="18" customFormat="false" ht="42" hidden="false" customHeight="true" outlineLevel="0" collapsed="false">
      <c r="A18" s="43" t="n">
        <v>14</v>
      </c>
      <c r="B18" s="35" t="s">
        <v>446</v>
      </c>
      <c r="C18" s="35" t="s">
        <v>447</v>
      </c>
      <c r="D18" s="44" t="s">
        <v>448</v>
      </c>
    </row>
    <row r="19" customFormat="false" ht="42" hidden="false" customHeight="true" outlineLevel="0" collapsed="false">
      <c r="A19" s="43" t="n">
        <v>15</v>
      </c>
      <c r="B19" s="35" t="s">
        <v>449</v>
      </c>
      <c r="C19" s="35" t="s">
        <v>450</v>
      </c>
      <c r="D19" s="44" t="s">
        <v>451</v>
      </c>
    </row>
    <row r="20" customFormat="false" ht="42" hidden="false" customHeight="true" outlineLevel="0" collapsed="false">
      <c r="A20" s="43" t="n">
        <v>16</v>
      </c>
      <c r="B20" s="35" t="s">
        <v>452</v>
      </c>
      <c r="C20" s="35" t="s">
        <v>453</v>
      </c>
      <c r="D20" s="44" t="s">
        <v>454</v>
      </c>
    </row>
    <row r="21" customFormat="false" ht="42" hidden="false" customHeight="true" outlineLevel="0" collapsed="false">
      <c r="A21" s="43" t="n">
        <v>17</v>
      </c>
      <c r="B21" s="35" t="s">
        <v>455</v>
      </c>
      <c r="C21" s="35" t="s">
        <v>456</v>
      </c>
      <c r="D21" s="44" t="s">
        <v>457</v>
      </c>
    </row>
    <row r="22" customFormat="false" ht="42" hidden="false" customHeight="true" outlineLevel="0" collapsed="false">
      <c r="A22" s="43" t="n">
        <v>18</v>
      </c>
      <c r="B22" s="35" t="s">
        <v>458</v>
      </c>
      <c r="C22" s="35" t="s">
        <v>459</v>
      </c>
      <c r="D22" s="44" t="s">
        <v>460</v>
      </c>
    </row>
    <row r="23" customFormat="false" ht="42" hidden="false" customHeight="true" outlineLevel="0" collapsed="false">
      <c r="A23" s="43" t="n">
        <v>19</v>
      </c>
      <c r="B23" s="35" t="s">
        <v>461</v>
      </c>
      <c r="C23" s="35" t="s">
        <v>462</v>
      </c>
      <c r="D23" s="44" t="s">
        <v>463</v>
      </c>
    </row>
    <row r="25" customFormat="false" ht="15" hidden="false" customHeight="true" outlineLevel="0" collapsed="false">
      <c r="A25" s="19" t="s">
        <v>464</v>
      </c>
      <c r="B25" s="19"/>
      <c r="C25" s="19"/>
      <c r="D25" s="19"/>
    </row>
  </sheetData>
  <mergeCells count="1">
    <mergeCell ref="A25:D25"/>
  </mergeCells>
  <hyperlinks>
    <hyperlink ref="D5" r:id="rId1" display="https://berkeleyca.gov/sites/default/files/legislative-body-meeting-attachments/Item%2002%20Budget&amp;Finance-FY2728%20Budget%20Update__04.16.26%20(3).pdf"/>
    <hyperlink ref="D6" r:id="rId2" display="https://berkeleyca.gov/sites/default/files/legislative-body-meeting-attachments/Item%2002%20General%20Fund%20Revenue%20Update%20and%20Overview%20of%20Revenue%20Enhancements%20(FY%202026%20Mid-Year%20General%20Fund%20Revenue%20Report-Final).pdf"/>
    <hyperlink ref="D7" r:id="rId3" display="https://berkeleyca.gov/sites/default/files/legislative-body-meeting-attachments/Item%2002%20Proposed%20FY27-FY31%20Proposed%20CIP%20Budget%20Presentation.pdf"/>
    <hyperlink ref="D8" r:id="rId4" display="https://berkeleyca.gov/your-government/financial-information/city-budget"/>
    <hyperlink ref="D9" r:id="rId5" display="https://berkeleyca.gov/community-recreation/news/proposed-budget-looks-stabilize-city-finances"/>
    <hyperlink ref="D10" r:id="rId6" display="https://berkeleyca.gov/your-government/our-work/bond-revenue-measures/infrastructure-projects-potential-bond-measure"/>
    <hyperlink ref="D11" r:id="rId7" display="https://berkeleyca.gov/sites/default/files/2022-01/FY-2020-2021-Adopted-Budget-Book.pdf"/>
    <hyperlink ref="D12" r:id="rId8" display="https://berkeleyca.gov/sites/default/files/documents/Berkeley's%20Financial%20Condition%20(FY%202012%20-%20FY%202021)-%20Pension%20Liabilities%20and%20Infrastructure%20Need%20Attention.pdf"/>
    <hyperlink ref="D13" r:id="rId9" display="https://berkeleyca.gov/sites/default/files/documents/Marina%20Fund%20Update%20041218.pdf"/>
    <hyperlink ref="D14" r:id="rId10" display="https://berkeleyca.gov/sites/default/files/documents/2025-12-02%20Special%20Item%2002%20Discussion%20Regarding%20Potential%20Ballot.pdf"/>
    <hyperlink ref="D15" r:id="rId11" display="https://www.berkeleyscanner.com/2026/01/01/community/berkeley-budget-cuts-deficit-expected/"/>
    <hyperlink ref="D16" r:id="rId12" display="https://www.berkeleyscanner.com/2026/05/19/community/berkeley-new-budget-strategy-rising-costs-deficit/"/>
    <hyperlink ref="D17" r:id="rId13" display="https://www.berkeleyscanner.com/2025/05/22/community/berkeley-budget-tough-choices-city-council/"/>
    <hyperlink ref="D18" r:id="rId14" display="https://www.berkeleyscanner.com/2025/04/25/community/berkeley-hiring-freeze-27-million-deficit/"/>
    <hyperlink ref="D19" r:id="rId15" display="https://www.berkeleyside.org/2026/04/15/berkeley-budget-deficit-sales-tax-layoffs"/>
    <hyperlink ref="D20" r:id="rId16" display="https://www.berkeleyside.org/2026/05/20/berkeley-budget-deficit-fire-station-close-city-council"/>
    <hyperlink ref="D21" r:id="rId17" display="https://www.berkeleyside.org/2022/05/10/berkeley-finance-audit-pension-infrastructure-covid"/>
    <hyperlink ref="D22" r:id="rId18" display="https://www.dailycal.org/news/city/here-s-how-berkeley-is-trying-to-fix-its-30m-deficit/article_22ae4aa9-b34b-4acb-8d33-6fbeb70c70ac.html"/>
    <hyperlink ref="D23" r:id="rId19" display="https://www.berkeleyscanner.com/2025/10/14/traffic-safety/berkeley-measure-ff-safe-streets-whats-happen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2026-06-30T19:11:18Z</dcterms:created>
  <dc:creator>openpyxl</dc:creator>
  <dc:description/>
  <dc:language>en-US</dc:language>
  <cp:lastModifiedBy/>
  <dcterms:modified xsi:type="dcterms:W3CDTF">2026-06-30T19:11:50Z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